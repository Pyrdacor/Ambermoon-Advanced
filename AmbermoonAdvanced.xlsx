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Robert\source\repos\Ambermoon-Advanced\"/>
    </mc:Choice>
  </mc:AlternateContent>
  <xr:revisionPtr revIDLastSave="0" documentId="13_ncr:1_{B22F170A-1133-4EE4-9C1A-13827D07CD0C}" xr6:coauthVersionLast="47" xr6:coauthVersionMax="47" xr10:uidLastSave="{00000000-0000-0000-0000-000000000000}"/>
  <bookViews>
    <workbookView xWindow="28680" yWindow="-120" windowWidth="29040" windowHeight="15720" tabRatio="500" firstSheet="6" activeTab="14" xr2:uid="{00000000-000D-0000-FFFF-FFFF00000000}"/>
  </bookViews>
  <sheets>
    <sheet name="Neue Daten Ep3" sheetId="1" r:id="rId1"/>
    <sheet name="Changelog" sheetId="2" r:id="rId2"/>
    <sheet name="Summary" sheetId="3" r:id="rId3"/>
    <sheet name="Todo" sheetId="4" r:id="rId4"/>
    <sheet name="GlobalVars" sheetId="5" r:id="rId5"/>
    <sheet name="Keywords" sheetId="6" r:id="rId6"/>
    <sheet name="GotoPoints" sheetId="7" r:id="rId7"/>
    <sheet name="ObjectTexts" sheetId="8" r:id="rId8"/>
    <sheet name="Items" sheetId="9" r:id="rId9"/>
    <sheet name="Monsters" sheetId="10" r:id="rId10"/>
    <sheet name="Maps" sheetId="11" r:id="rId11"/>
    <sheet name="Labdata" sheetId="12" r:id="rId12"/>
    <sheet name="MapChanges" sheetId="13" r:id="rId13"/>
    <sheet name="NPCs" sheetId="14" r:id="rId14"/>
    <sheet name="Chests" sheetId="15" r:id="rId15"/>
    <sheet name="Doors" sheetId="16" r:id="rId16"/>
    <sheet name="Places" sheetId="17" r:id="rId17"/>
    <sheet name="TextChanges" sheetId="18" r:id="rId18"/>
    <sheet name="CharChanges" sheetId="19" r:id="rId19"/>
    <sheet name="TileChangeEvents" sheetId="20" r:id="rId20"/>
    <sheet name="ObjectGfx" sheetId="21" r:id="rId21"/>
    <sheet name="WallGfx" sheetId="22" r:id="rId22"/>
    <sheet name="Overlays" sheetId="23" r:id="rId23"/>
    <sheet name="Floors" sheetId="24" r:id="rId24"/>
    <sheet name="Event Pics" sheetId="25" r:id="rId25"/>
    <sheet name="Tiles" sheetId="26" r:id="rId26"/>
    <sheet name="SpellChanges" sheetId="27" r:id="rId27"/>
    <sheet name="Quest - Sea Creatures" sheetId="28" r:id="rId28"/>
    <sheet name="SpellDamage" sheetId="29" r:id="rId29"/>
    <sheet name="Black Mountains" sheetId="30" r:id="rId30"/>
    <sheet name="SavegamePatching" sheetId="31" r:id="rId31"/>
    <sheet name="CodeChanges" sheetId="32" r:id="rId32"/>
    <sheet name="Exp Table" sheetId="33" r:id="rId33"/>
    <sheet name="Bosses" sheetId="34" r:id="rId34"/>
    <sheet name="Portraits" sheetId="35" r:id="rId35"/>
    <sheet name="MonsterGfx" sheetId="36" r:id="rId36"/>
    <sheet name="Custom Translate" sheetId="37" r:id="rId37"/>
    <sheet name="Kasimir Stats" sheetId="38" r:id="rId38"/>
    <sheet name="Name Ideas" sheetId="39" r:id="rId39"/>
    <sheet name="CombatBackgrounds" sheetId="40" r:id="rId40"/>
    <sheet name="ElementChanges" sheetId="41" r:id="rId41"/>
    <sheet name="Shards" sheetId="42" r:id="rId42"/>
  </sheets>
  <calcPr calcId="191029" iterate="1"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37" i="42" l="1"/>
  <c r="D36" i="42"/>
  <c r="D38" i="42" s="1"/>
  <c r="D34" i="42"/>
  <c r="D33" i="42"/>
  <c r="D32" i="42"/>
  <c r="D31" i="42"/>
  <c r="D30" i="42"/>
  <c r="D29" i="42"/>
  <c r="D28" i="42"/>
  <c r="D27" i="42"/>
  <c r="D26" i="42"/>
  <c r="D25" i="42"/>
  <c r="D24" i="42"/>
  <c r="D23" i="42"/>
  <c r="D22" i="42"/>
  <c r="D21" i="42"/>
  <c r="D20" i="42"/>
  <c r="D19" i="42"/>
  <c r="D18" i="42"/>
  <c r="D17" i="42"/>
  <c r="F39" i="38"/>
  <c r="F38" i="38"/>
  <c r="H37" i="38"/>
  <c r="G36" i="38"/>
  <c r="H36" i="38" s="1"/>
  <c r="F35" i="38"/>
  <c r="H35" i="38" s="1"/>
  <c r="H34" i="38"/>
  <c r="H33" i="38"/>
  <c r="G32" i="38"/>
  <c r="F32" i="38"/>
  <c r="H32" i="38" s="1"/>
  <c r="G31" i="38"/>
  <c r="F31" i="38"/>
  <c r="H31" i="38" s="1"/>
  <c r="G30" i="38"/>
  <c r="F30" i="38"/>
  <c r="H30" i="38" s="1"/>
  <c r="G29" i="38"/>
  <c r="G24" i="38" s="1"/>
  <c r="F29" i="38"/>
  <c r="G28" i="38"/>
  <c r="F28" i="38"/>
  <c r="H28" i="38" s="1"/>
  <c r="G27" i="38"/>
  <c r="H27" i="38" s="1"/>
  <c r="F27" i="38"/>
  <c r="G26" i="38"/>
  <c r="F26" i="38"/>
  <c r="H26" i="38" s="1"/>
  <c r="G25" i="38"/>
  <c r="F25" i="38"/>
  <c r="H25" i="38" s="1"/>
  <c r="F24" i="38"/>
  <c r="H24" i="38" s="1"/>
  <c r="G23" i="38"/>
  <c r="F23" i="38"/>
  <c r="H23" i="38" s="1"/>
  <c r="F22" i="38"/>
  <c r="G22" i="38" s="1"/>
  <c r="G21" i="38"/>
  <c r="F20" i="38"/>
  <c r="G19" i="38"/>
  <c r="G20" i="38" s="1"/>
  <c r="F19" i="38"/>
  <c r="F21" i="38" s="1"/>
  <c r="H21" i="38" s="1"/>
  <c r="H8" i="38"/>
  <c r="G8" i="38"/>
  <c r="F8" i="38"/>
  <c r="B51" i="33"/>
  <c r="B50" i="33"/>
  <c r="B49" i="33"/>
  <c r="B48" i="33"/>
  <c r="B47" i="33"/>
  <c r="B46" i="33"/>
  <c r="I3" i="33" s="1"/>
  <c r="B45" i="33"/>
  <c r="B44" i="33"/>
  <c r="B43" i="33"/>
  <c r="B42" i="33"/>
  <c r="B41" i="33"/>
  <c r="B40" i="33"/>
  <c r="B39" i="33"/>
  <c r="B38" i="33"/>
  <c r="B37" i="33"/>
  <c r="B36" i="33"/>
  <c r="B35" i="33"/>
  <c r="B34" i="33"/>
  <c r="B33" i="33"/>
  <c r="B32" i="33"/>
  <c r="B31" i="33"/>
  <c r="B30" i="33"/>
  <c r="B29" i="33"/>
  <c r="B28" i="33"/>
  <c r="B27" i="33"/>
  <c r="B26" i="33"/>
  <c r="B25" i="33"/>
  <c r="H24" i="33"/>
  <c r="B24" i="33"/>
  <c r="B23" i="33"/>
  <c r="B22" i="33"/>
  <c r="B21" i="33"/>
  <c r="B20" i="33"/>
  <c r="B19" i="33"/>
  <c r="B18" i="33"/>
  <c r="B17" i="33"/>
  <c r="B16" i="33"/>
  <c r="B15" i="33"/>
  <c r="B14" i="33"/>
  <c r="B13" i="33"/>
  <c r="B12" i="33"/>
  <c r="B11" i="33"/>
  <c r="I10" i="33"/>
  <c r="B10" i="33"/>
  <c r="B9" i="33"/>
  <c r="B8" i="33"/>
  <c r="B7" i="33"/>
  <c r="B6" i="33"/>
  <c r="B5" i="33"/>
  <c r="I4" i="33"/>
  <c r="B4" i="33"/>
  <c r="B3" i="33"/>
  <c r="C3" i="33" s="1"/>
  <c r="C4" i="33" s="1"/>
  <c r="C5" i="33" s="1"/>
  <c r="C6" i="33" s="1"/>
  <c r="C7" i="33" s="1"/>
  <c r="C8" i="33" s="1"/>
  <c r="C9" i="33" s="1"/>
  <c r="C10" i="33" s="1"/>
  <c r="C11" i="33" s="1"/>
  <c r="C12" i="33" s="1"/>
  <c r="C13" i="33" s="1"/>
  <c r="C14" i="33" s="1"/>
  <c r="C15" i="33" s="1"/>
  <c r="C16" i="33" s="1"/>
  <c r="C17" i="33" s="1"/>
  <c r="C18" i="33" s="1"/>
  <c r="C19" i="33" s="1"/>
  <c r="C20" i="33" s="1"/>
  <c r="C21" i="33" s="1"/>
  <c r="C22" i="33" s="1"/>
  <c r="C23" i="33" s="1"/>
  <c r="C24" i="33" s="1"/>
  <c r="C25" i="33" s="1"/>
  <c r="C26" i="33" s="1"/>
  <c r="C27" i="33" s="1"/>
  <c r="C28" i="33" s="1"/>
  <c r="C29" i="33" s="1"/>
  <c r="C30" i="33" s="1"/>
  <c r="C31" i="33" s="1"/>
  <c r="C32" i="33" s="1"/>
  <c r="C33" i="33" s="1"/>
  <c r="C34" i="33" s="1"/>
  <c r="C35" i="33" s="1"/>
  <c r="C36" i="33" s="1"/>
  <c r="C37" i="33" s="1"/>
  <c r="C38" i="33" s="1"/>
  <c r="C39" i="33" s="1"/>
  <c r="C40" i="33" s="1"/>
  <c r="C41" i="33" s="1"/>
  <c r="C42" i="33" s="1"/>
  <c r="C43" i="33" s="1"/>
  <c r="C44" i="33" s="1"/>
  <c r="C45" i="33" s="1"/>
  <c r="C46" i="33" s="1"/>
  <c r="B11" i="29"/>
  <c r="B10" i="29"/>
  <c r="B9" i="29"/>
  <c r="B8" i="29"/>
  <c r="B7" i="29"/>
  <c r="B6" i="29"/>
  <c r="B5" i="29"/>
  <c r="K27" i="19"/>
  <c r="J27" i="19"/>
  <c r="I27" i="19"/>
  <c r="H27" i="19"/>
  <c r="K26" i="19"/>
  <c r="J26" i="19"/>
  <c r="I26" i="19"/>
  <c r="H26" i="19"/>
  <c r="K25" i="19"/>
  <c r="I25" i="19" s="1"/>
  <c r="J25" i="19"/>
  <c r="H25" i="19"/>
  <c r="K24" i="19"/>
  <c r="J24" i="19"/>
  <c r="I24" i="19"/>
  <c r="H24" i="19"/>
  <c r="K23" i="19"/>
  <c r="I23" i="19" s="1"/>
  <c r="J23" i="19"/>
  <c r="H23" i="19"/>
  <c r="K22" i="19"/>
  <c r="J22" i="19"/>
  <c r="I22" i="19"/>
  <c r="H22" i="19"/>
  <c r="K21" i="19"/>
  <c r="J21" i="19"/>
  <c r="I21" i="19"/>
  <c r="H21" i="19"/>
  <c r="K20" i="19"/>
  <c r="J20" i="19"/>
  <c r="I20" i="19"/>
  <c r="H20" i="19"/>
  <c r="K19" i="19"/>
  <c r="I19" i="19" s="1"/>
  <c r="J19" i="19"/>
  <c r="H19" i="19"/>
  <c r="K18" i="19"/>
  <c r="J18" i="19"/>
  <c r="I18" i="19"/>
  <c r="H18" i="19"/>
  <c r="N14" i="19"/>
  <c r="M14" i="19"/>
  <c r="L14" i="19"/>
  <c r="K14" i="19"/>
  <c r="J14" i="19"/>
  <c r="I14" i="19"/>
  <c r="N13" i="19"/>
  <c r="M13" i="19"/>
  <c r="L13" i="19"/>
  <c r="K13" i="19"/>
  <c r="J13" i="19"/>
  <c r="I13" i="19"/>
  <c r="N12" i="19"/>
  <c r="M12" i="19"/>
  <c r="L12" i="19"/>
  <c r="K12" i="19"/>
  <c r="J12" i="19"/>
  <c r="I12" i="19"/>
  <c r="N11" i="19"/>
  <c r="M11" i="19"/>
  <c r="L11" i="19"/>
  <c r="K11" i="19"/>
  <c r="J11" i="19"/>
  <c r="I11" i="19"/>
  <c r="N10" i="19"/>
  <c r="M10" i="19"/>
  <c r="L10" i="19"/>
  <c r="K10" i="19"/>
  <c r="J10" i="19"/>
  <c r="I10" i="19"/>
  <c r="N9" i="19"/>
  <c r="M9" i="19"/>
  <c r="L9" i="19"/>
  <c r="K9" i="19"/>
  <c r="J9" i="19"/>
  <c r="I9" i="19"/>
  <c r="N8" i="19"/>
  <c r="M8" i="19"/>
  <c r="L8" i="19"/>
  <c r="K8" i="19"/>
  <c r="J8" i="19"/>
  <c r="I8" i="19"/>
  <c r="N7" i="19"/>
  <c r="M7" i="19"/>
  <c r="L7" i="19"/>
  <c r="K7" i="19"/>
  <c r="J7" i="19"/>
  <c r="I7" i="19"/>
  <c r="N6" i="19"/>
  <c r="M6" i="19"/>
  <c r="L6" i="19"/>
  <c r="K6" i="19"/>
  <c r="J6" i="19"/>
  <c r="I6" i="19"/>
  <c r="N5" i="19"/>
  <c r="M5" i="19"/>
  <c r="L5" i="19"/>
  <c r="K5" i="19"/>
  <c r="J5" i="19"/>
  <c r="I5" i="19"/>
  <c r="J9" i="33" l="1"/>
  <c r="J3" i="33"/>
  <c r="J2" i="33"/>
  <c r="J8" i="33"/>
  <c r="J7" i="33"/>
  <c r="C47" i="33"/>
  <c r="C48" i="33" s="1"/>
  <c r="C49" i="33" s="1"/>
  <c r="C50" i="33" s="1"/>
  <c r="C51" i="33" s="1"/>
  <c r="J4" i="33"/>
  <c r="H23" i="33" s="1"/>
  <c r="J6" i="33"/>
  <c r="J5" i="33"/>
  <c r="J10" i="33"/>
  <c r="H20" i="38"/>
  <c r="H29" i="38"/>
  <c r="I5" i="33"/>
  <c r="I6" i="33"/>
  <c r="H22" i="38"/>
  <c r="I7" i="33"/>
  <c r="I2" i="33"/>
  <c r="I8" i="33"/>
  <c r="G38" i="38"/>
  <c r="H38" i="38" s="1"/>
  <c r="I9" i="33"/>
  <c r="H19" i="38"/>
  <c r="G39" i="38"/>
  <c r="H39" i="38" s="1"/>
</calcChain>
</file>

<file path=xl/sharedStrings.xml><?xml version="1.0" encoding="utf-8"?>
<sst xmlns="http://schemas.openxmlformats.org/spreadsheetml/2006/main" count="3153" uniqueCount="2272">
  <si>
    <t>Map texts</t>
  </si>
  <si>
    <t>Maps</t>
  </si>
  <si>
    <t>Places</t>
  </si>
  <si>
    <t>Merchants</t>
  </si>
  <si>
    <t>Wasp’s Nest</t>
  </si>
  <si>
    <t>Search Trainer</t>
  </si>
  <si>
    <t>Dor Grestin</t>
  </si>
  <si>
    <t>Underground</t>
  </si>
  <si>
    <t>Weapon Dealer</t>
  </si>
  <si>
    <t>The Nest</t>
  </si>
  <si>
    <t>Gral Temple</t>
  </si>
  <si>
    <t>Item Gfx</t>
  </si>
  <si>
    <t>Items</t>
  </si>
  <si>
    <t>Spells</t>
  </si>
  <si>
    <t>Char Bits to 1</t>
  </si>
  <si>
    <t>Event Bits to 1</t>
  </si>
  <si>
    <t>Offhand Knife</t>
  </si>
  <si>
    <t>Alchemist</t>
  </si>
  <si>
    <t>Ghost Inferno</t>
  </si>
  <si>
    <t>Offhand Dagger</t>
  </si>
  <si>
    <t>Forest Bow</t>
  </si>
  <si>
    <t>Parry Dagger</t>
  </si>
  <si>
    <t>Dowsing Rod</t>
  </si>
  <si>
    <t>Ghost Staff</t>
  </si>
  <si>
    <t>Quick Arrow</t>
  </si>
  <si>
    <t>Aiming Arrow</t>
  </si>
  <si>
    <t>Episode 3</t>
  </si>
  <si>
    <t>'- Bows now have a different attribute damage bonus of STR/50 and DEX/25 (TODO: add to remake)</t>
  </si>
  <si>
    <t>'- Other weapons now also have an additional bonus of DEX/50 (TODO: add to remake)</t>
  </si>
  <si>
    <t>- The attribute damage and defense bonus is now also shown in the char info</t>
  </si>
  <si>
    <t>- New travel type "Wasp" which is like the eagle but on the forest moon (can be used through map events only)</t>
  </si>
  <si>
    <t>- New dungeon on the forest moon</t>
  </si>
  <si>
    <r>
      <rPr>
        <sz val="11"/>
        <color rgb="FF000000"/>
        <rFont val="Calibri"/>
        <family val="2"/>
        <charset val="1"/>
      </rPr>
      <t xml:space="preserve">- Attack and defense now have a base and variable component like in the remake </t>
    </r>
    <r>
      <rPr>
        <b/>
        <sz val="11"/>
        <color rgb="FF000000"/>
        <rFont val="Calibri"/>
        <family val="2"/>
        <charset val="1"/>
      </rPr>
      <t>(</t>
    </r>
    <r>
      <rPr>
        <sz val="11"/>
        <color rgb="FF000000"/>
        <rFont val="Calibri"/>
        <family val="2"/>
        <charset val="1"/>
      </rPr>
      <t>original just added them together</t>
    </r>
    <r>
      <rPr>
        <b/>
        <sz val="11"/>
        <color rgb="FF000000"/>
        <rFont val="Calibri"/>
        <family val="2"/>
        <charset val="1"/>
      </rPr>
      <t>)</t>
    </r>
  </si>
  <si>
    <r>
      <rPr>
        <sz val="11"/>
        <color rgb="FF000000"/>
        <rFont val="Calibri"/>
        <family val="2"/>
        <charset val="1"/>
      </rPr>
      <t xml:space="preserve">- Gnom mine now has 5 goto points </t>
    </r>
    <r>
      <rPr>
        <b/>
        <sz val="11"/>
        <color rgb="FF000000"/>
        <rFont val="Calibri"/>
        <family val="2"/>
        <charset val="1"/>
      </rPr>
      <t>(</t>
    </r>
    <r>
      <rPr>
        <sz val="11"/>
        <color rgb="FF000000"/>
        <rFont val="Calibri"/>
        <family val="2"/>
        <charset val="1"/>
      </rPr>
      <t>TODO: add to english version!</t>
    </r>
    <r>
      <rPr>
        <b/>
        <sz val="11"/>
        <color rgb="FF000000"/>
        <rFont val="Calibri"/>
        <family val="2"/>
        <charset val="1"/>
      </rPr>
      <t>)</t>
    </r>
  </si>
  <si>
    <t>- On level up now STA/25 is added to hp (TODO: add to remake)</t>
  </si>
  <si>
    <t>- Thalion and Valdyn have a bit more SLP per level but lower SP per level</t>
  </si>
  <si>
    <t>- Let the ghost on the graveyard use Ghost Inferno</t>
  </si>
  <si>
    <t>- Forest Bow should not be duplicatable as well as the ghost staff</t>
  </si>
  <si>
    <t>- Place ghost staff and Ghost Inferno scroll as a reward somewhere on Lyramion</t>
  </si>
  <si>
    <t>- map 183, 35, 21 - Gralsümpfe Dungeon – Reward: Ghost stuff</t>
  </si>
  <si>
    <t>Note: Never add more than 530 entries to an archive otherwise the Amiga version will fail.</t>
  </si>
  <si>
    <t>Kasimir has all elemental spell damage bonusses from start but a penalty of 50%. This means if he uses the cores they all do the same base damage but 50% lower than the normal version a black mage can use. Around 50-60 dmg.</t>
  </si>
  <si>
    <t>Findings:</t>
  </si>
  <si>
    <t>Monstergroup 24 ist gleich zu 48. Lebabs Golems und die in der Quelle des Lebens.</t>
  </si>
  <si>
    <t>Check glob var 193, is set when looting shandra’s grave, but not connected in original data of map 428</t>
  </si>
  <si>
    <t>Combat backgrounds 10, 12 und 13 für 2D sind nicht verwendet.</t>
  </si>
  <si>
    <t>Combat backgrounds 5 und 13 für 3D sind nicht verwendet.</t>
  </si>
  <si>
    <t>Savegame patcher has to fix the current item damage of left hand items (e.g. sling daggers)</t>
  </si>
  <si>
    <t>Gewichtswerte einiger Partymember sind falsch. Zum Beispiel Erik hat über 50kg wenn er alles weggibt. Könnte der Savegame Patcher fixen,</t>
  </si>
  <si>
    <t>Remove all tile change events from savegames for Antique Area 3. (savegame patcher)</t>
  </si>
  <si>
    <t>Aman is not spawning if the player was already in thief cellar before patching savegame. If event bit 265:4 inactive and glob var 376 is 0, set character bit 407:4 to show and 264:3 to hide</t>
  </si>
  <si>
    <t>New content for manual: Level shard effects, new spells, more spell details, spoiler with all new stuff (many pages with details, maybe even some easter eggs).</t>
  </si>
  <si>
    <t>Fix original bugs:</t>
  </si>
  <si>
    <t>- Lava tile must block walk and horse</t>
  </si>
  <si>
    <t>- Fix stairs in Thalion office</t>
  </si>
  <si>
    <t>- Fix non-blocking walls in 3 maps</t>
  </si>
  <si>
    <t>Test Amiga version</t>
  </si>
  <si>
    <t>APR reward on Amiga must be extended to also adjust APRPerLevel value.</t>
  </si>
  <si>
    <t>Episode 4</t>
  </si>
  <si>
    <t>Add events for map 484, etc</t>
  </si>
  <si>
    <t>Texte für S’Ebi (drauf achten, dass sie erst nach dem Gefängnis möglich sind)</t>
  </si>
  <si>
    <t>- Furniture in prison cells (especially in last room, torture stuff)</t>
  </si>
  <si>
    <t>- More stones when the prison wall is broken and improve the broken wall a bit</t>
  </si>
  <si>
    <t>Add debris after robots die, add other robots and events.</t>
  </si>
  <si>
    <t>Chairs and shelf in wise man house have strange z-interaction with player. Is this the same on Amiga or is the render logic flawed? Revert from Normal to Background maybe?</t>
  </si>
  <si>
    <t>Implement extended languages on Amiga</t>
  </si>
  <si>
    <t>Some shadows on world map are broken (sand boat tower etc)</t>
  </si>
  <si>
    <t>Check for wrong tiles on Morag world map</t>
  </si>
  <si>
    <t>Crash in remake when remove many items twice…</t>
  </si>
  <si>
    <t>Amiga allow Level &gt; 50 from event</t>
  </si>
  <si>
    <t>Implement „show map“, „toggle switch“ and the 2 map reveal events for Amiga</t>
  </si>
  <si>
    <t>Automaps</t>
  </si>
  <si>
    <t>Hour movement not working on Amiga?!</t>
  </si>
  <si>
    <t>Amiga new spells:</t>
  </si>
  <si>
    <t>- Handle new spell target (enemy row in range). Picking for player and monster, visuals, range checks, etc.</t>
  </si>
  <si>
    <t>- Implement new spells.</t>
  </si>
  <si>
    <t>- Adjust cast spell logic for monsters so they won't fallback to single target spells if "avg prio" is below 50. Right now it may just not cast at all then which is shitty.</t>
  </si>
  <si>
    <t>- Allow using function spells and the new ones (especially for monsters), add spell infos</t>
  </si>
  <si>
    <t>Improve old item gfx in thief quest</t>
  </si>
  <si>
    <t>Maybe improve the white colored plants</t>
  </si>
  <si>
    <t>You should be able to use magic on drugs as now your chance is reduced by it. At least in battle.</t>
  </si>
  <si>
    <t>Check in Amiga if reward targets (100+) work. Also add 200+ (all but X). Also check if killing works if reward HP -100% is used. And if revive works with remove condition and/or HP +100%.</t>
  </si>
  <si>
    <t xml:space="preserve">In ep3 even: STA/25 is added to HP. But bonus STA is not taken into account. Same for INT btw (old code). (Amiga is fixed!) Remake does not implement this at all. Also not the bow damage bonus and the DEX damage bonus for close range weapons. </t>
  </si>
  <si>
    <t xml:space="preserve">Kasimir gets a lot of TP but actually beside Crit all skills are already maxed out after transformations. </t>
  </si>
  <si>
    <t xml:space="preserve">Empowered Kasimir still says „I am too weak, but maybe become stronger later“ when you dispell him from the group. </t>
  </si>
  <si>
    <t>Laser trap is still noticed by clairvoyance even if the condition is not met (at least in remake). Check Amiga. We fixed remake I guess (also test).</t>
  </si>
  <si>
    <t>When using eye cursor near lockpick doors in gral temple the text for the spinner appears in remake (this should not happen, also test in original)</t>
  </si>
  <si>
    <t>The message „here is a trap“ comes too often and is annoying</t>
  </si>
  <si>
    <t>Some moving mushrooms in Dor Grestin could not be picked up</t>
  </si>
  <si>
    <t>Man kann diagonal durch die Wand das 4. Wandfach erreichen wenn man sich in die Ecke stellt. Geht das im Original? Sollte ggf. im Remake gefixt werden.</t>
  </si>
  <si>
    <t>Transfer stone can be used on yourself. Also on Amiga?</t>
  </si>
  <si>
    <t>Leuchtende Pfeiler in Wespennest könnte stehen bleiben wenn der Fahrtstuhl nicht mehr fährt oder Richtung umkehren. Unten vielleicht auch. Oder nur bei Bewegung.</t>
  </si>
  <si>
    <t>Texte 18 und 19 von Map 339 (Dor Grestin) wird nicht mehr genutzt. Vielleicht nach Map 381 verschieben. Aber besser die Text ID anderweitig nutzen.</t>
  </si>
  <si>
    <t>Reuse map text 368:3. Previously shown when teleported in front of many guards, now hint that the skeleton hides something.</t>
  </si>
  <si>
    <t>Die Batterie wird nicht dem aktiven Spieler gegeben, sondern dem ersten der Platz hat. Ist das normal? Amiga-Verhalten?</t>
  </si>
  <si>
    <t>Chain 8 und E in AA4 lassen event editor abstürzen mit graph command. Map 368 mit chain 26.</t>
  </si>
  <si>
    <t>Text 14 in AA4 is empty (and also unused?). Also in original.</t>
  </si>
  <si>
    <t>Check if the 3 map events for mystic tower will only work in correct order and what happens if you do it differently</t>
  </si>
  <si>
    <t>Check all auto map icons for all events</t>
  </si>
  <si>
    <t>Maybe later:</t>
  </si>
  <si>
    <t>Hide more stones of knowledge (currently there are 3 I guess)</t>
  </si>
  <si>
    <t>3D Bewegung im Remake läuft manchmal langsam (WASD)</t>
  </si>
  <si>
    <t>Tile issue at bottom rocks in lava stream (player is drawn above when moving from top to bottom but not after spawning there, in remake). Also on the lower middle lava island. Seems like a remake bug.</t>
  </si>
  <si>
    <t>Check if any map graphics (tiles, walls, objects, overlays) are unused and remove them. Adjust refs of course!</t>
  </si>
  <si>
    <t>Thief skill rework:</t>
  </si>
  <si>
    <t>- Open locks is the chance to not destroy the lockpick after opening a lock</t>
  </si>
  <si>
    <t>- Reduce the total amount of lockpicks in the game</t>
  </si>
  <si>
    <t>- What if all lockpicks are destroyed? Even a thief can no longer open locks</t>
  </si>
  <si>
    <t>- Maybe allow more characters to have at least some skill points in Open Locks</t>
  </si>
  <si>
    <t>- Open Locks only works if there is no trap. You can try (also with lockpick) but will trigger the trap instead.</t>
  </si>
  <si>
    <t>- But you will always need the find/disarm trap skills in your party then</t>
  </si>
  <si>
    <t>Option to leave party members at your house if renovated.</t>
  </si>
  <si>
    <t>Original Bugs?</t>
  </si>
  <si>
    <t>- The text bug in Thief cellar in earlier rooms should not occur if you already entered a later room (wrong teleport rooms).</t>
  </si>
  <si>
    <t>- Equipping a two-hand weapon while no other inventory slot is free (only the dragged one), while a shield is equipped,  the weapon is equipped but the previously equipped item is fully gone!</t>
  </si>
  <si>
    <t>-&gt; In fact the buckler is still in the slot. You even can pick it up (the red cross is displayed though). You can also equip a 2H weapon when 1H weapon + shield is equipped. Only the weapon is dragged, the shield remains. Was it like this in v1.07?</t>
  </si>
  <si>
    <t>- Monsters can't pass green slime in old cave</t>
  </si>
  <si>
    <t>- Automap zeigt Fallen auch ohne mystic map (aber nicht in legende). Vielleicht so lassen und in Remake auch so? Am Anfang hat man den Zauber nicht aber will vielleicht Fallen sehen.</t>
  </si>
  <si>
    <t>- Move teleport in map 273 (Town House) lower so you don't stand in the door. Check if you land there when entering and move as well if so.</t>
  </si>
  <si>
    <t>- Text NPC in S'Angrila Inn: "und ich der letzte meiner Familie". Es fehlt "bin".</t>
  </si>
  <si>
    <t>- Schlaf und Furcht führen zu GameOver. Aber aus Schlaf kann man aufwachen und wenn man flieht, dann flieht man halt. :D</t>
  </si>
  <si>
    <t>- Do not allow to leave the forest moon without a yellow or green navstone.</t>
  </si>
  <si>
    <t xml:space="preserve">  - If you leave with 1 yellow + 1 blue you could go to morag, then to Lyramion and you are still stucked</t>
  </si>
  <si>
    <t xml:space="preserve">  - Maybe we need a way to always return to the forest moon from either Morag or Lyramion</t>
  </si>
  <si>
    <r>
      <rPr>
        <sz val="11"/>
        <color rgb="FF000000"/>
        <rFont val="Calibri"/>
        <family val="2"/>
        <charset val="1"/>
      </rPr>
      <t xml:space="preserve">- Text 2 in AA4 </t>
    </r>
    <r>
      <rPr>
        <b/>
        <sz val="11"/>
        <color rgb="FF000000"/>
        <rFont val="Calibri"/>
        <family val="2"/>
        <charset val="1"/>
      </rPr>
      <t>(</t>
    </r>
    <r>
      <rPr>
        <sz val="11"/>
        <color rgb="FF000000"/>
        <rFont val="Calibri"/>
        <family val="2"/>
        <charset val="1"/>
      </rPr>
      <t>"GEHEMNISVOLL"</t>
    </r>
    <r>
      <rPr>
        <b/>
        <sz val="11"/>
        <color rgb="FF000000"/>
        <rFont val="Calibri"/>
        <family val="2"/>
        <charset val="1"/>
      </rPr>
      <t>)</t>
    </r>
  </si>
  <si>
    <t>Remake Bugs? (Maybe as follow-up patch 1.8.1)</t>
  </si>
  <si>
    <t>- Casting self heal in battle and clicking fast afterwards, will not allow any selection of a player (keyboard works)</t>
  </si>
  <si>
    <t>- Sometimes teleporting to cavetown shows strange wall colors (I guess it is the daytime dependent color). Also happened in Spannenberg after using goto point from Carpenter to Gardener. I guess at some daytime only. Only is for short.</t>
  </si>
  <si>
    <t>In Original all vars from 1 to 223 are used except for 0, 53 and 54.</t>
  </si>
  <si>
    <t>Global var 0 is reserved and should never be set.</t>
  </si>
  <si>
    <t>New global vars</t>
  </si>
  <si>
    <t>New game option</t>
  </si>
  <si>
    <t>53: Talked to Kasimir once</t>
  </si>
  <si>
    <t>Bit 14:</t>
  </si>
  <si>
    <t>Valdyn talked to Sheera (for possible new extro version)</t>
  </si>
  <si>
    <t>54: Gave brooch to Sunny / Sandra</t>
  </si>
  <si>
    <t>224: Has shown testament to Karl</t>
  </si>
  <si>
    <t>225: House has been renovated (by Karl)</t>
  </si>
  <si>
    <t>226: You visited the tavern in Snakesign</t>
  </si>
  <si>
    <t>227: Wind gate has been built (by Karl)</t>
  </si>
  <si>
    <t>228: Cave has been built (by Karl)</t>
  </si>
  <si>
    <t>Other game states</t>
  </si>
  <si>
    <t>229: You have talked to Karl about his former trainee</t>
  </si>
  <si>
    <t>Event bit 17627=1 &amp;&amp; Char bit 8804=1: Nagier dead or peace</t>
  </si>
  <si>
    <t>230: You have bought a cat from Ferdinand</t>
  </si>
  <si>
    <t>231: You have bought a dog from Ferdinand</t>
  </si>
  <si>
    <t>232: You have become friends with your cat</t>
  </si>
  <si>
    <t>233: You have become friends with your dog</t>
  </si>
  <si>
    <t>234: You have been rewarded by Ferdinand for pet carring</t>
  </si>
  <si>
    <t>235: You fell through a cave hole so that it creates a hole below as well</t>
  </si>
  <si>
    <t>236: You fed your cat once</t>
  </si>
  <si>
    <t>237: You played with your dog once</t>
  </si>
  <si>
    <t>238: You got the journal (log) from Torle</t>
  </si>
  <si>
    <t>239: Visited the giant turtle</t>
  </si>
  <si>
    <t>240: Visited the giant water snake</t>
  </si>
  <si>
    <t>241: Talked to the mermaid in the eye of vortex</t>
  </si>
  <si>
    <t>242: Visited the giant whale</t>
  </si>
  <si>
    <t>243: Visited the giant sword fish</t>
  </si>
  <si>
    <t>244: Visited the giant piranha</t>
  </si>
  <si>
    <t>245: Talked to Tristan once (got the office key)</t>
  </si>
  <si>
    <t>246: Door to Manyeyes' castle unlocked</t>
  </si>
  <si>
    <t>247: Upper boss in Manyeyes' castle killed</t>
  </si>
  <si>
    <t>248: Fallen through roof of Manyeyes' castle once</t>
  </si>
  <si>
    <t>249: Manyeyes' curse was banished (wall removed)</t>
  </si>
  <si>
    <t>250: Gave booze to Jeff the gatekeeper</t>
  </si>
  <si>
    <t>251: Gave treasure map to Luke</t>
  </si>
  <si>
    <t>252: Removed magic flying disc in eye of vortex</t>
  </si>
  <si>
    <t>253: Removed witch broom in eye of vortex</t>
  </si>
  <si>
    <t>254: Just removed magic flying disc in the event chain</t>
  </si>
  <si>
    <t>255: Got Tolimar’s tools once</t>
  </si>
  <si>
    <t>256: Correct path through the spinners taken</t>
  </si>
  <si>
    <t>257: Completed spinner test</t>
  </si>
  <si>
    <t>258: Visited Lavastream</t>
  </si>
  <si>
    <t>259: Ignited all candles in paladin guild</t>
  </si>
  <si>
    <t>260: Opened entrance to Crystal wine cellar</t>
  </si>
  <si>
    <t>261: Opened exit from paladin guild to world map</t>
  </si>
  <si>
    <t>262: Transferred Isdir’s essence</t>
  </si>
  <si>
    <t>263: Transferred Pyrdacor’s essence</t>
  </si>
  <si>
    <t>264: Transferred Marla’s essence</t>
  </si>
  <si>
    <t>265: Transferred Lugthir’s essence</t>
  </si>
  <si>
    <t>266: Transferred Fargon’s essence</t>
  </si>
  <si>
    <t>267: Transferred Gunbar’s essence</t>
  </si>
  <si>
    <t>268: Looted Mystic Creatures book</t>
  </si>
  <si>
    <t>269: Triggered Gunbar statue event once</t>
  </si>
  <si>
    <t>270: Last Pyrdacor dead, lava went away</t>
  </si>
  <si>
    <t>271: Created exit from desert temple</t>
  </si>
  <si>
    <t>272: Defeated Marla</t>
  </si>
  <si>
    <t>273: Closed left upper eye part in desert temple</t>
  </si>
  <si>
    <t>274: Closed right upper eye part in desert temple</t>
  </si>
  <si>
    <t>275: Closed left lower eye part in desert temple</t>
  </si>
  <si>
    <t>276: Closed right lower eye part in desert temple</t>
  </si>
  <si>
    <t>277: Closed left mouth part in desert temple</t>
  </si>
  <si>
    <t>278: Closed right mouth part in desert temple</t>
  </si>
  <si>
    <t>279: Left lever pulled in desert temple</t>
  </si>
  <si>
    <t>280: Right lever pulled in desert temple</t>
  </si>
  <si>
    <t>281: Lever at 5,5 beyond the sands pulled</t>
  </si>
  <si>
    <t>282: Lever at 17,5 beyond the sands pulled</t>
  </si>
  <si>
    <t>283: Lever at 17,7 beyond the sands pulled</t>
  </si>
  <si>
    <t>284: Lever at 18,18 beyond the sands pulled</t>
  </si>
  <si>
    <t>285: Talked to Morgat once</t>
  </si>
  <si>
    <t>286: Desert temple face completed</t>
  </si>
  <si>
    <t>287: Finished first Isdir quest (golden water)</t>
  </si>
  <si>
    <t>288: Finished second Isdir quest (restless soul)</t>
  </si>
  <si>
    <t>289: Finished third Isdir quest (snake)</t>
  </si>
  <si>
    <t>290: Finished fourth Isdir quest (blue crystal)</t>
  </si>
  <si>
    <t>291: Talked to first ice crystal (golden water)</t>
  </si>
  <si>
    <t>292: Talked to second ice crystal (restless soul)</t>
  </si>
  <si>
    <t>293: Talked to third ice crystal (snake)</t>
  </si>
  <si>
    <t>294: Talked to fourth ice crystal (blue crystal)</t>
  </si>
  <si>
    <t>295: Killed restless undead</t>
  </si>
  <si>
    <t>296: Got a snake</t>
  </si>
  <si>
    <t>297: The biest in plain of thal talked to you already</t>
  </si>
  <si>
    <t>298: Talked about the reward with Isdir</t>
  </si>
  <si>
    <t>299: Showed hint text for spinner room in black mountains</t>
  </si>
  <si>
    <t>300: Teleported back to start in spinner room</t>
  </si>
  <si>
    <t xml:space="preserve">301: Talked about Pyrdacor with Baron Karsten </t>
  </si>
  <si>
    <t xml:space="preserve">302: Talked about the paladin guild with Baron Karsten </t>
  </si>
  <si>
    <t>303: Touched eagle in eyrie once</t>
  </si>
  <si>
    <t>304: Got eagle key</t>
  </si>
  <si>
    <t>305: Got information about Isdir from Jeff</t>
  </si>
  <si>
    <t>306: Transfer Stone available on Altar of Knowledge</t>
  </si>
  <si>
    <t>307: Milzor increased your luck</t>
  </si>
  <si>
    <t>308: Already got initial level boost on Kasimir</t>
  </si>
  <si>
    <t>309: Wasp dungeon elevator activated / Hudyn placed amber in machine</t>
  </si>
  <si>
    <t>310: Melvin told you about the code word for the swamp temple</t>
  </si>
  <si>
    <t>311: Left Gral temple door trap triggered</t>
  </si>
  <si>
    <t>312: Right Gral temple door trap triggered</t>
  </si>
  <si>
    <t>313: Lower Gral temple door trap triggered</t>
  </si>
  <si>
    <t>314: Reached the chest with the ghost inferno scrolls in Gral temple</t>
  </si>
  <si>
    <t>315: Already faught against Diokhar</t>
  </si>
  <si>
    <t>316: Placed Diokhar on the map</t>
  </si>
  <si>
    <t>317: Talked once to Hudyn</t>
  </si>
  <si>
    <t>318: Talked with Hudyn about the plants</t>
  </si>
  <si>
    <t>319: Given plants to Hudyn</t>
  </si>
  <si>
    <t>320: Talked to Ketnar on air ship</t>
  </si>
  <si>
    <t>321: Ketnar informed you about wasp riding</t>
  </si>
  <si>
    <t>322: Got reward from Melvin</t>
  </si>
  <si>
    <t>323: Strength Guard talked to once</t>
  </si>
  <si>
    <t>324: Intelligence Guard talked to once</t>
  </si>
  <si>
    <t>325: Dexterity Guard talked to once</t>
  </si>
  <si>
    <t>326: Second strength guard talked to</t>
  </si>
  <si>
    <t>327: Block pulled already</t>
  </si>
  <si>
    <t>328: Antique book placed on altair</t>
  </si>
  <si>
    <t>329: Block pushed already</t>
  </si>
  <si>
    <t>330: Wall storage 1 opened</t>
  </si>
  <si>
    <t>331: Wall storage 2 opened</t>
  </si>
  <si>
    <t>332: Wall storage 3 opened</t>
  </si>
  <si>
    <t>333: Wall storage 4 opened</t>
  </si>
  <si>
    <t>334: Antique riddle 1 solved.</t>
  </si>
  <si>
    <t>335: Wall storage 6 opened</t>
  </si>
  <si>
    <t>336: Wall storage 1 battery taken</t>
  </si>
  <si>
    <t>337: Wall storage 2 battery taken</t>
  </si>
  <si>
    <t>338: Wall storage 3 battery taken</t>
  </si>
  <si>
    <t>339: Wall storage 4 battery placed</t>
  </si>
  <si>
    <t>340: Wall storage 5 battery placed</t>
  </si>
  <si>
    <t>341: Wall storage 6 battery placed</t>
  </si>
  <si>
    <t>342: Antique riddle 2 solved</t>
  </si>
  <si>
    <t>343: Antique riddle 4 solved</t>
  </si>
  <si>
    <t>344: Intelligence test passed</t>
  </si>
  <si>
    <t>345: Dexterity test passed</t>
  </si>
  <si>
    <t>346: Strength test passed</t>
  </si>
  <si>
    <t>347: Green teleport stone received</t>
  </si>
  <si>
    <t>348: Talked to Brogat once</t>
  </si>
  <si>
    <t>349: Talked to Feldrar once</t>
  </si>
  <si>
    <t>350: Got wasp riding set from Feldrar</t>
  </si>
  <si>
    <t>351: Feldrar talkes about wasps at least once</t>
  </si>
  <si>
    <t>352: Brogat talked about the plants for the brew</t>
  </si>
  <si>
    <t>353: Used pickaxe once against cracked wall in gral temple</t>
  </si>
  <si>
    <t>354: Shortcut unlocked from Antique Area to Dor Kiredon</t>
  </si>
  <si>
    <t>355: Teleporter activated for Albion</t>
  </si>
  <si>
    <t>356: Talked to Sheera once</t>
  </si>
  <si>
    <t>357: Asked Sheera about Destiny</t>
  </si>
  <si>
    <t>358: Gave Trii to Sheera once</t>
  </si>
  <si>
    <t>359: Left the Krondir cave</t>
  </si>
  <si>
    <t>360: Shiny liquid got smaller</t>
  </si>
  <si>
    <t>361: Albion portal activated</t>
  </si>
  <si>
    <t>362: Talked to Drelb once</t>
  </si>
  <si>
    <t>363: Finished Drelb’s search quest</t>
  </si>
  <si>
    <t>364: Drelb’s Versteck 1 gefunden</t>
  </si>
  <si>
    <t>365: Drelb’s Versteck 2 gefunden</t>
  </si>
  <si>
    <t>366: Drelb’s Versteck 3 gefunden</t>
  </si>
  <si>
    <t>367: Drelb’s Versteck 4 gefunden</t>
  </si>
  <si>
    <t>368: Drelb’s Versteck 5 gefunden</t>
  </si>
  <si>
    <t>369: Drelb’s Versteckquest gestartet</t>
  </si>
  <si>
    <t>370: Inside mystic test</t>
  </si>
  <si>
    <t>371: Mystic test done</t>
  </si>
  <si>
    <t>372: Left glass orb touched first</t>
  </si>
  <si>
    <t>373: Right glass orb touched first</t>
  </si>
  <si>
    <t>374: Mystic imitation learned</t>
  </si>
  <si>
    <t>375: Aman rescued from knights in Gemstone ruins</t>
  </si>
  <si>
    <t>376: Talked to Aman in Gemstone ruins once</t>
  </si>
  <si>
    <t>377: Got silver lockpick from Aman</t>
  </si>
  <si>
    <t>378: Second thief quest (STQ) completed</t>
  </si>
  <si>
    <t>379: STQ: Found trap at first door</t>
  </si>
  <si>
    <t>380: STQ: Received key from Aman</t>
  </si>
  <si>
    <t>381: STQ: Correctly placed zweihander</t>
  </si>
  <si>
    <t>382: STQ: Correctly placed glove</t>
  </si>
  <si>
    <t>383: STQ: Correctly placed compass</t>
  </si>
  <si>
    <t>384: STQ: Correctly placed hat</t>
  </si>
  <si>
    <t>385: STQ: Correctly placed trident</t>
  </si>
  <si>
    <t>386: STQ: Placed zweihander</t>
  </si>
  <si>
    <t>387: STQ: Placed glove</t>
  </si>
  <si>
    <t>388: STQ: Placed compass</t>
  </si>
  <si>
    <t>389: STQ: Placed hat</t>
  </si>
  <si>
    <t>390: STQ: Placed trident</t>
  </si>
  <si>
    <t>391: STQ: Unlocked cape</t>
  </si>
  <si>
    <t>392: STQ: Selena did first training</t>
  </si>
  <si>
    <t>393: STQ: Selena did second training</t>
  </si>
  <si>
    <t>394: STQ: Selena did third training</t>
  </si>
  <si>
    <t>395: Received wasp reward from Ketnar</t>
  </si>
  <si>
    <t>396: Ketnar talked about Dorina’s quest</t>
  </si>
  <si>
    <t>397: Dorina talked about missed wedding ring</t>
  </si>
  <si>
    <t>398: Returned ring to Dorina</t>
  </si>
  <si>
    <t>399: Talked once to Bore after return from forest moon</t>
  </si>
  <si>
    <t>400: Gunbar essence looted</t>
  </si>
  <si>
    <t>401: Talked to Aman about the bandits once.</t>
  </si>
  <si>
    <t>402: Prison guard might accept gold now</t>
  </si>
  <si>
    <t>403: Prison guard gave you his key</t>
  </si>
  <si>
    <t>404: Got hint for loose stone from prisoner</t>
  </si>
  <si>
    <t>405: Killed angry prisoner</t>
  </si>
  <si>
    <t>406: Prison entrance guard second text displayed</t>
  </si>
  <si>
    <t>407: Prison entrance guard first text displayed</t>
  </si>
  <si>
    <t>408: Talked to S’Ebi once</t>
  </si>
  <si>
    <t>409: Talked to S’Ebi in hideout</t>
  </si>
  <si>
    <t>410: Digged up left chest in hideout</t>
  </si>
  <si>
    <t>411: Digged up right chest in hideout</t>
  </si>
  <si>
    <t>412: Talked to S’Eren once</t>
  </si>
  <si>
    <t>413: Talked to Wise Moranian once</t>
  </si>
  <si>
    <t>414: Talked about altars once with wise man</t>
  </si>
  <si>
    <t>415: Activated altar 1</t>
  </si>
  <si>
    <t>416: Activated altar 2</t>
  </si>
  <si>
    <t>417: Activated altar 3</t>
  </si>
  <si>
    <t>418: Activated altar 4</t>
  </si>
  <si>
    <t>419: Opened wall storage in upper right ancient building</t>
  </si>
  <si>
    <t>420: Pull one of the first two levers once in upper right ancient building</t>
  </si>
  <si>
    <t>421: Block at 16,4 is on (upper right ancient building)</t>
  </si>
  <si>
    <t>422: Block at 16,5 is off (upper right ancient building)</t>
  </si>
  <si>
    <t>423: Block at 16,6 is off (upper right ancient building)</t>
  </si>
  <si>
    <t>424: Block at 23,6 is off (upper right ancient building)</t>
  </si>
  <si>
    <t>425: Block at 19,7 is off (upper right ancient building)</t>
  </si>
  <si>
    <t>426: Block at 23,7 is off (upper right ancient building)</t>
  </si>
  <si>
    <t>427: Block at 18,8 is off (upper right ancient building)</t>
  </si>
  <si>
    <t>428: Block at 19,9 is off (upper right ancient building)</t>
  </si>
  <si>
    <t>429: Block at 23,9 is off (upper right ancient building)</t>
  </si>
  <si>
    <t>430: Block at 19,10 is on (upper right ancient building)</t>
  </si>
  <si>
    <t>431: Block at 20,10 is off (upper right ancient building)</t>
  </si>
  <si>
    <t>432: Block at 22,10 is off (upper right ancient building)</t>
  </si>
  <si>
    <t>433: Block at 22,23 is off (lower right ancient building)</t>
  </si>
  <si>
    <t>434: Block at 23,18 is on (lower right ancient building)</t>
  </si>
  <si>
    <t>435: Block at 24,17 is off (lower right ancient building)</t>
  </si>
  <si>
    <t>436: Block at 18,19 is off (lower right ancient building)</t>
  </si>
  <si>
    <t>437: Block at 22,17 is off (lower right ancient building) and teleporter (17,20)/screen(15,19) active</t>
  </si>
  <si>
    <t>438: Block at 24,21 is off (lower right ancient building)</t>
  </si>
  <si>
    <t>439: Block at 22,25 is off (lower right ancient building)</t>
  </si>
  <si>
    <t>440: Morag riddle heared and confirmed in lower right ancient building</t>
  </si>
  <si>
    <t>441: Wall storage 1 closed (lower right ancient building)</t>
  </si>
  <si>
    <t>442: Wall storage 2 closed (lower right ancient building)</t>
  </si>
  <si>
    <t>443: Wall storage 3 closed (lower right ancient building)</t>
  </si>
  <si>
    <t>444: Wall storage 4 closed (lower right ancient building)</t>
  </si>
  <si>
    <t>445: Wall storage 5 closed (lower right ancient building)</t>
  </si>
  <si>
    <t>446: Wall storage 1 has correct letter M (lower right ancient building)</t>
  </si>
  <si>
    <t>447: Wall storage 2 has correct letter O (lower right ancient building)</t>
  </si>
  <si>
    <t>448: Wall storage 3 has correct letter R (lower right ancient building)</t>
  </si>
  <si>
    <t>449: Wall storage 4 has correct letter A (lower right ancient building)</t>
  </si>
  <si>
    <t>450: Wall storage 5 has correct letter G (lower right ancient building)</t>
  </si>
  <si>
    <t>451: Word MORAG completed</t>
  </si>
  <si>
    <t>452: 3rd room riddle hint confirmed</t>
  </si>
  <si>
    <t>453: 3rd room timing riddle solved</t>
  </si>
  <si>
    <t>454: Upper small robot walkpath changed</t>
  </si>
  <si>
    <t>455: Upper small robot walkpath changed once</t>
  </si>
  <si>
    <t>456: Robot 1 in upper right room (upper left ancient building) active</t>
  </si>
  <si>
    <t>457: Robot 2 in upper right room (upper left ancient building) active</t>
  </si>
  <si>
    <t>458: Robot 3 in upper right room (upper left ancient building) active</t>
  </si>
  <si>
    <t>459: Robot 4 in upper right room (upper left ancient building) active</t>
  </si>
  <si>
    <t>460: Confirmed last ancient building message</t>
  </si>
  <si>
    <t>461: Boss room 1 (UL) entered</t>
  </si>
  <si>
    <t>462: Boss room 2 (UR) entered</t>
  </si>
  <si>
    <t>463: Boss room 3 (LL) entered</t>
  </si>
  <si>
    <t>464: Boss 1 dead</t>
  </si>
  <si>
    <t>465: Boss 2 dead</t>
  </si>
  <si>
    <t>466: Boss 3 dead</t>
  </si>
  <si>
    <t>467: Talked with S’Eren about sabotage</t>
  </si>
  <si>
    <t>468: Completed sabotage</t>
  </si>
  <si>
    <t>469: Got reward for completing sabotage</t>
  </si>
  <si>
    <t>470: Sabotage quest postponed (reset when leaving map)</t>
  </si>
  <si>
    <t>In Original all keywords from 0 to 114 are used.</t>
  </si>
  <si>
    <t>New keywords</t>
  </si>
  <si>
    <t>115: BAUPROJEKTE / CONSTRUCTION PROJECTS</t>
  </si>
  <si>
    <t>116: INNENAUSBAU / REFURBISHMENT</t>
  </si>
  <si>
    <t>117: WINDTOR / WIND GATE</t>
  </si>
  <si>
    <t>118: LAGERHÖHLE / STORAGE CAVE</t>
  </si>
  <si>
    <t>119: HUND / DOG</t>
  </si>
  <si>
    <t>120: KARTE / MAP</t>
  </si>
  <si>
    <t>121: KREATUREN DER SEE / SEA CREATURES</t>
  </si>
  <si>
    <t>122: VIELAUGE / MANYEYES</t>
  </si>
  <si>
    <t>123: SCHLOSS / CASTLE</t>
  </si>
  <si>
    <t>124: BÜRO / OFFICE</t>
  </si>
  <si>
    <t>125: THEODORUS</t>
  </si>
  <si>
    <t>126: ZIMMERMANN / CARPENTER</t>
  </si>
  <si>
    <t>127: GEHILFE / APPRENTICE</t>
  </si>
  <si>
    <t>128: PYRDACOR</t>
  </si>
  <si>
    <t>129: SAND</t>
  </si>
  <si>
    <t>130: MAGMA</t>
  </si>
  <si>
    <t>131: LAVA</t>
  </si>
  <si>
    <t>132: SUMPF / SWAMP</t>
  </si>
  <si>
    <t>133: MOOR / MARSH</t>
  </si>
  <si>
    <t>134: WÜSTE / DESERT</t>
  </si>
  <si>
    <t>135: GOLDENE ECHSE / GOLDEN LIZARD</t>
  </si>
  <si>
    <t>136: WÜSTENECHSE / DESERT LIZARD</t>
  </si>
  <si>
    <t>137: PALADINE / PALADINS</t>
  </si>
  <si>
    <t>138: PALADINGILDE / PALADIN GUILD</t>
  </si>
  <si>
    <t>139: CRYSTAL</t>
  </si>
  <si>
    <t>140: SCHWARZBERGE / BLACK MOUNTAINS</t>
  </si>
  <si>
    <t>141: LUGTHIR</t>
  </si>
  <si>
    <t>142: ADLERHORST / EYRIE</t>
  </si>
  <si>
    <t>143: ISDIR</t>
  </si>
  <si>
    <t>144: TALIS</t>
  </si>
  <si>
    <t>145: NACHWEIS / CERTIFICATE</t>
  </si>
  <si>
    <t>146: FAMILIE / FAMILY</t>
  </si>
  <si>
    <t>147: GRALSÜMPFE / GRAL SWAMPS</t>
  </si>
  <si>
    <t>148: MELVIN</t>
  </si>
  <si>
    <t>149: WESPEN / WASPS</t>
  </si>
  <si>
    <t>150: GRAL</t>
  </si>
  <si>
    <t>151: ZEIT / TIME</t>
  </si>
  <si>
    <t>152: ZUTATEN / INGREDIENTS</t>
  </si>
  <si>
    <t>153: WILDNIS / WILDERNESS</t>
  </si>
  <si>
    <t>154: DSCHUNGEL / JUNGLE</t>
  </si>
  <si>
    <t>155: SCHICKSAL / DESTINY</t>
  </si>
  <si>
    <t>156: UNGEHEUER / MONSTER</t>
  </si>
  <si>
    <t>157: TRII</t>
  </si>
  <si>
    <t>158: FLÜSSIGKEIT / LIQUID</t>
  </si>
  <si>
    <t>159: SUCHE / SEARCH</t>
  </si>
  <si>
    <t>160: TRAINING</t>
  </si>
  <si>
    <t>161: SEE / LAKE</t>
  </si>
  <si>
    <t>162: GRÜN / GREEN</t>
  </si>
  <si>
    <t>163: BLAU / BLUE</t>
  </si>
  <si>
    <t>164: GELB / YELLOW</t>
  </si>
  <si>
    <t>165: TEMPEL / TEMPLE</t>
  </si>
  <si>
    <t>166: TAGEBUCH / DIARY</t>
  </si>
  <si>
    <t>167: S’RIEL</t>
  </si>
  <si>
    <t>168: REBELL / REBEL</t>
  </si>
  <si>
    <t>169: LYRAMION</t>
  </si>
  <si>
    <t>170: FRIEDEN / PEACE</t>
  </si>
  <si>
    <t>171: WIDERSTAND / RESISTANCE</t>
  </si>
  <si>
    <t>172: RATSECHSEN / HEAD LIZARDS</t>
  </si>
  <si>
    <t>173: FRAGMENTE / SHARDS</t>
  </si>
  <si>
    <t>174: ALTÄRE / ALTARS</t>
  </si>
  <si>
    <t>In Original all goto points till 78 (including) are used except for 2 and 17.</t>
  </si>
  <si>
    <t>New goto points</t>
  </si>
  <si>
    <t>2: Architektenbüro / Architect's Office (Spannenberg)</t>
  </si>
  <si>
    <t>17: Tierhandlung / Pet Shop (Spannenberg)</t>
  </si>
  <si>
    <t>79: Warenhändler / Good merchant (Cavetown)</t>
  </si>
  <si>
    <t>80: Schmied / Blacksmith (Cavetown)</t>
  </si>
  <si>
    <t>81: Cavetown Büro / Cavetown Office (Cavetown)</t>
  </si>
  <si>
    <t>82: Vielauge-Schloss / Manyeyes' Castle (Cavetown)</t>
  </si>
  <si>
    <t>83: Gasthaus / Tavern (Cavetown)</t>
  </si>
  <si>
    <t>84: Badehaus / Bathhouse (Cavetown)</t>
  </si>
  <si>
    <t>85: Flosshändler / Raft Dealer (Cavetown)</t>
  </si>
  <si>
    <t>86: Gasthaus / Tavern (Cavetown) -- Second door</t>
  </si>
  <si>
    <t>87: Stadthaus 1 / Townhouse 1 (Cavetown)</t>
  </si>
  <si>
    <t>88: Stadthaus 2 / Townhouse 2 (Cavetown)</t>
  </si>
  <si>
    <t>89: Stadthaus 3 / Townhouse 3 (Cavetown)</t>
  </si>
  <si>
    <t>90: Stadttor / Town Gates (Cavetown)</t>
  </si>
  <si>
    <t>91: Häuptling / Chief (Gnommine)</t>
  </si>
  <si>
    <t>92: Suchtrainer / Search Trainer (Gnommine)</t>
  </si>
  <si>
    <t>93: Warenhändler / Merchant (Gnommine)</t>
  </si>
  <si>
    <t>94: Gasthaus / Tavern (Gnommine)</t>
  </si>
  <si>
    <t>95: Ausgang / Exit (Gnommine)</t>
  </si>
  <si>
    <t>96: Suchtrainer / Search Trainer (Dor Grestin)</t>
  </si>
  <si>
    <t>97: Waffenhändler / Weapon Dealer (Dor Grestin)</t>
  </si>
  <si>
    <t>98: Ausgang / Exit (Mystic Tower)</t>
  </si>
  <si>
    <t>99: Utensilien / Utils (Mystic Tower)</t>
  </si>
  <si>
    <t>100: Bibliothek / Library (Mystic Tower)</t>
  </si>
  <si>
    <t>101: Versteck / Hideout (S’Angrila)</t>
  </si>
  <si>
    <t>102: Weiser / Wise Man (S’Angrila)</t>
  </si>
  <si>
    <t>TextIndex</t>
  </si>
  <si>
    <t>SubIndex</t>
  </si>
  <si>
    <t>Description</t>
  </si>
  <si>
    <t>Text of Torle's journal</t>
  </si>
  <si>
    <t>Text of hero's diary</t>
  </si>
  <si>
    <t>Diary of the last inhabitant of Ship's end</t>
  </si>
  <si>
    <t>Index</t>
  </si>
  <si>
    <t>Name</t>
  </si>
  <si>
    <t>Type</t>
  </si>
  <si>
    <t>Changed Items</t>
  </si>
  <si>
    <t>Tagebuch / Diary</t>
  </si>
  <si>
    <t>Text Scroll</t>
  </si>
  <si>
    <t>Contains a hint for the magic picture in the entrance hall</t>
  </si>
  <si>
    <t>Changes</t>
  </si>
  <si>
    <t>Katzenspielzeug / Cat Toy</t>
  </si>
  <si>
    <t>Normal Item</t>
  </si>
  <si>
    <t>Can be used to become friends with your cat</t>
  </si>
  <si>
    <t>Shadow Belt</t>
  </si>
  <si>
    <t>Number of charges (Blink) increased from 5 to 15</t>
  </si>
  <si>
    <t>Hundespielzeug / Dog Toy</t>
  </si>
  <si>
    <t>Can be used to become friends with your dog</t>
  </si>
  <si>
    <t>Murder Blade</t>
  </si>
  <si>
    <t>Atk increased from 10 to 11, MagicWeaponLevel from 0 to 1</t>
  </si>
  <si>
    <t>Tierfutter / Pet Food</t>
  </si>
  <si>
    <t>Can be given to Kasimir, fill item for Ferdinand's shop</t>
  </si>
  <si>
    <t>Water of Life</t>
  </si>
  <si>
    <t>Now grants „Wake the dead“ instead of „Resurrection“</t>
  </si>
  <si>
    <t>Gustav's Ring</t>
  </si>
  <si>
    <t>Ring</t>
  </si>
  <si>
    <t>Powerful ring found after defeating the spider at the end of your cave</t>
  </si>
  <si>
    <t>Zweihander</t>
  </si>
  <si>
    <t>MBW 0 to 1</t>
  </si>
  <si>
    <t>Torle's Logbuch / Torle's Journal</t>
  </si>
  <si>
    <t>Contains the coordinates and or hints to all sea creatures</t>
  </si>
  <si>
    <t>Holy Sword</t>
  </si>
  <si>
    <t>Blind-Branntwein / Blind Brandy</t>
  </si>
  <si>
    <t>Potion</t>
  </si>
  <si>
    <t>Used for a quest, otherwise just blinds the target</t>
  </si>
  <si>
    <t>Trident</t>
  </si>
  <si>
    <t>Alte Schatzkarte / Old treasure map</t>
  </si>
  <si>
    <t>Quest item for one of the gate keepers in cavetown</t>
  </si>
  <si>
    <t>Crossbow</t>
  </si>
  <si>
    <t>Anti-Kater Mittel / Anti Hangover Drink</t>
  </si>
  <si>
    <t>Heals drug effect</t>
  </si>
  <si>
    <t>Mando’s Schwert</t>
  </si>
  <si>
    <t>MBW 0 to 2</t>
  </si>
  <si>
    <t>Büroschlüssel / Office Key</t>
  </si>
  <si>
    <t>Key</t>
  </si>
  <si>
    <t>Opens the door to the cavetown office (Ruben gives it to you)</t>
  </si>
  <si>
    <t>Mörderklinge</t>
  </si>
  <si>
    <t>Pförtnerschlüssel 1 / Gate Keeper's Key 1</t>
  </si>
  <si>
    <t>Opens the first door in the gatekeeper house</t>
  </si>
  <si>
    <t>Firebrand</t>
  </si>
  <si>
    <t>MBW 2 to 1</t>
  </si>
  <si>
    <t>Pförtnerschlüssel 2 / Gate Keeper's Key 2</t>
  </si>
  <si>
    <t>Opens the second door in the gatekeeper house</t>
  </si>
  <si>
    <t>Valdyn’s Schwert</t>
  </si>
  <si>
    <t>MBW 3 to 1</t>
  </si>
  <si>
    <t>Dunkle Klinge / Dark Blade</t>
  </si>
  <si>
    <t>Weapon</t>
  </si>
  <si>
    <t>Cursed weapon from manyeyes' castle 1</t>
  </si>
  <si>
    <t>Keule der Gala</t>
  </si>
  <si>
    <t>Alter Schlüssel / Ancient Key</t>
  </si>
  <si>
    <t>Opens the boss room in manyeyes' castle 2</t>
  </si>
  <si>
    <t>Magic Arrows</t>
  </si>
  <si>
    <t>Weight 125 to 20, renamed to „Magic Arrow“</t>
  </si>
  <si>
    <t>Schwert der Ahnen / Ancestral Sword</t>
  </si>
  <si>
    <t>Reward from first manyeyes' castle boss</t>
  </si>
  <si>
    <t>Arrow</t>
  </si>
  <si>
    <t>Weight 150 to 25</t>
  </si>
  <si>
    <t>Rüstung der Ahnen / Ancestral Armour</t>
  </si>
  <si>
    <t>Armor</t>
  </si>
  <si>
    <t>Sling Stones</t>
  </si>
  <si>
    <t>Weight 200 to 40, renamed to Sling Stone</t>
  </si>
  <si>
    <t>Geisterkugel / Ghost Orb</t>
  </si>
  <si>
    <t>Shield</t>
  </si>
  <si>
    <t>In a chest in the secret room in manyeyes' cellar</t>
  </si>
  <si>
    <t>Bolt</t>
  </si>
  <si>
    <t>Weight 350 to 50</t>
  </si>
  <si>
    <t>Altes Tagebuch / Old Diary</t>
  </si>
  <si>
    <t>Found in the abandoned hut in Ship's End</t>
  </si>
  <si>
    <t>Magic Bolts</t>
  </si>
  <si>
    <t>Weight 65 to 25, renamed to Magic Bolt</t>
  </si>
  <si>
    <t>Flammenschlüssel / Flame Key</t>
  </si>
  <si>
    <t>Dorina’s Brosche</t>
  </si>
  <si>
    <t>Added 15x Alchemistic Globe</t>
  </si>
  <si>
    <t>Feuerschlüssel / Fire Key</t>
  </si>
  <si>
    <t>Lavaschlüssel / Lava Key</t>
  </si>
  <si>
    <t>Magmaschlüssel / Magma Key</t>
  </si>
  <si>
    <t>Transferstein / Transfer Stone</t>
  </si>
  <si>
    <t>Magic Item</t>
  </si>
  <si>
    <t>Got from Altar of Knowledge, has new spell to exchange exp</t>
  </si>
  <si>
    <t>Feuerkristall / Fire Crystal</t>
  </si>
  <si>
    <t>New Graphics</t>
  </si>
  <si>
    <t>Inaktiver Kristall / Inactive Crystal</t>
  </si>
  <si>
    <t>Graphic</t>
  </si>
  <si>
    <t>Flamberge</t>
  </si>
  <si>
    <t>Firecrystal</t>
  </si>
  <si>
    <t>Feuerstab / Fire Staff</t>
  </si>
  <si>
    <t>Goldene Schuppe / Golden Scale</t>
  </si>
  <si>
    <t>Firestaff</t>
  </si>
  <si>
    <t>Magisches Pergament / Magic Parchment</t>
  </si>
  <si>
    <t>Raft</t>
  </si>
  <si>
    <t>Magisches Floß / Magic Raft</t>
  </si>
  <si>
    <t>Sunny’s Brooch</t>
  </si>
  <si>
    <t>Großer Hammer / Giant Mallet</t>
  </si>
  <si>
    <t>Tool</t>
  </si>
  <si>
    <t>Isdir’s Essence</t>
  </si>
  <si>
    <t>Sandra’s Brosche / Sandra’s Brooch</t>
  </si>
  <si>
    <t>Brooch</t>
  </si>
  <si>
    <t>Quest item version</t>
  </si>
  <si>
    <t>Pyrdacor’s Essence</t>
  </si>
  <si>
    <t>Alter Wein / Old Wine</t>
  </si>
  <si>
    <t>Can be sold (Quest maybe?)</t>
  </si>
  <si>
    <t>Marla’s Essence</t>
  </si>
  <si>
    <t>Gildenschlüssel / Guild Key</t>
  </si>
  <si>
    <t>Key for the paladin guild door</t>
  </si>
  <si>
    <t>Lugthir’s Essence</t>
  </si>
  <si>
    <t>Magisches Halsband / Magic Collar</t>
  </si>
  <si>
    <t>Amulet</t>
  </si>
  <si>
    <t>Can be bought in the pet shop and will make Kasimir stronger</t>
  </si>
  <si>
    <t>Fargon’s Essence</t>
  </si>
  <si>
    <t>Isdir’s Essenz / Isdir’s Essence</t>
  </si>
  <si>
    <t>Gunbar’s Essence</t>
  </si>
  <si>
    <t>Pyrdacor’s Essenz / Pyrdacor’s Essence</t>
  </si>
  <si>
    <t>Emblem</t>
  </si>
  <si>
    <t>Marla’s Essenz / Marla’s Essence</t>
  </si>
  <si>
    <t>Holy Emblem</t>
  </si>
  <si>
    <t>Lugthir’s Essenz / Lugthir’s Essence</t>
  </si>
  <si>
    <t>Golden Scale</t>
  </si>
  <si>
    <t>Fargon’s Essenz / Fargon’s Essence</t>
  </si>
  <si>
    <t>Golden Armour</t>
  </si>
  <si>
    <t>Gunbar’s Essenz / Gunbar’s Essence</t>
  </si>
  <si>
    <t>Snake</t>
  </si>
  <si>
    <t>Mystische Wesen / Mystic Creatures</t>
  </si>
  <si>
    <t>Book with hints to the mystic creatures</t>
  </si>
  <si>
    <t>Blue Crystal</t>
  </si>
  <si>
    <t>Relikt der Paladine / Paladins’ Relic</t>
  </si>
  <si>
    <t>Book with hints about the altair of knowledge</t>
  </si>
  <si>
    <t>Isdir’s Core</t>
  </si>
  <si>
    <t>Stein d. Erkenntnis / Stone of knowledge</t>
  </si>
  <si>
    <t>Needed to use the altair of knowledge</t>
  </si>
  <si>
    <t>Pyrdacor’s Core</t>
  </si>
  <si>
    <t>Paladinemblem / Paladin’s Emblem</t>
  </si>
  <si>
    <t>Quest item</t>
  </si>
  <si>
    <t>Marla’s Core</t>
  </si>
  <si>
    <t>Heilige Rüstung / Holy Armour</t>
  </si>
  <si>
    <t>Paladin item set</t>
  </si>
  <si>
    <t>Lugthir’s Core</t>
  </si>
  <si>
    <t>Heiliges Emblem / Holy Emblem</t>
  </si>
  <si>
    <t>Fargon’s Core</t>
  </si>
  <si>
    <t>Katzenleben / Cat Lives</t>
  </si>
  <si>
    <t>Revives the cat up to 6 times</t>
  </si>
  <si>
    <t>Gunbar’s Core</t>
  </si>
  <si>
    <t>Goldene Rüstung / Golden Armour</t>
  </si>
  <si>
    <t>Quest reward for returning scales</t>
  </si>
  <si>
    <t>Transfer Stone</t>
  </si>
  <si>
    <t>Goldenes Wasser / Golden Water</t>
  </si>
  <si>
    <t>Quest item for Isdir, can also cast Resurrection</t>
  </si>
  <si>
    <t>Spirit Armour</t>
  </si>
  <si>
    <t>Geisterseele / Ghost Spirit</t>
  </si>
  <si>
    <t>Quest item for Isdir</t>
  </si>
  <si>
    <t>Ice Staff</t>
  </si>
  <si>
    <t>Giftschlange / Poisonous Snake</t>
  </si>
  <si>
    <t>Blauer Kristall / Blue Crystal</t>
  </si>
  <si>
    <t>Isdir’s Kern / Isdir’s Core</t>
  </si>
  <si>
    <t>Provides ice ball spell for animals (50)</t>
  </si>
  <si>
    <t>Pyrdacor’s Kern / Pyrdacor’s Core</t>
  </si>
  <si>
    <t>Provides fire ball spell for animals (50)</t>
  </si>
  <si>
    <t>Marla’s Kern / Marla’s Core</t>
  </si>
  <si>
    <t>Provides stone fall spell for animals (50)</t>
  </si>
  <si>
    <t>Lugthir’s Kern / Lugthir’s Core</t>
  </si>
  <si>
    <t>Provides wind howler spell for animals (50)</t>
  </si>
  <si>
    <t>Emerald Chain</t>
  </si>
  <si>
    <t>Fargon’s Kern / Fargon’s Core</t>
  </si>
  <si>
    <t>Provides poison spell for animals (50)</t>
  </si>
  <si>
    <t>Wasp Essence</t>
  </si>
  <si>
    <t>Gunbar’s Kern / Gunbar’s Core</t>
  </si>
  <si>
    <t>Provides destroy undead spell for animals (50)</t>
  </si>
  <si>
    <t>Wasp Core</t>
  </si>
  <si>
    <t>Elementtabelle / Table of elements</t>
  </si>
  <si>
    <t>Text 001:006, lists elemental damage factors</t>
  </si>
  <si>
    <t>Wasp Harness</t>
  </si>
  <si>
    <t>Adlerschlüssel / Eagle Key</t>
  </si>
  <si>
    <t>Opens the eyrie</t>
  </si>
  <si>
    <t>Green Carved Sphere</t>
  </si>
  <si>
    <t>Spirituelle Robe / Spirit Robe</t>
  </si>
  <si>
    <t>Reward in ice temple</t>
  </si>
  <si>
    <t>Battery</t>
  </si>
  <si>
    <t>Eisstab / Ice Staff</t>
  </si>
  <si>
    <t>Blue Flower</t>
  </si>
  <si>
    <t>Städte Lyramions / Towns of Lyramion</t>
  </si>
  <si>
    <t>Text 004:009, gives hints about Crystal</t>
  </si>
  <si>
    <t>Trii</t>
  </si>
  <si>
    <t>Bitterkraut / Bitter Herb</t>
  </si>
  <si>
    <t>Revives in early game</t>
  </si>
  <si>
    <t>Empowered Trii</t>
  </si>
  <si>
    <t>Friedensblume / Flower of Peace</t>
  </si>
  <si>
    <t>Removes lamed</t>
  </si>
  <si>
    <t>Strange Fruits</t>
  </si>
  <si>
    <t>Better version, reward for using all essences</t>
  </si>
  <si>
    <t>Green Brooch</t>
  </si>
  <si>
    <t>Zweithandmesser / Off-hand Knife</t>
  </si>
  <si>
    <t>Off-hand weapon</t>
  </si>
  <si>
    <t>Silver Lockpick</t>
  </si>
  <si>
    <t>Zweithanddolch / Off-hand dagger</t>
  </si>
  <si>
    <t>Cape</t>
  </si>
  <si>
    <t>Paradedolch / Parrying Dagger</t>
  </si>
  <si>
    <t>Old Hat</t>
  </si>
  <si>
    <t>Waldbogen / Forest Bow</t>
  </si>
  <si>
    <t>Ranged Weapon</t>
  </si>
  <si>
    <t>New powerful bow</t>
  </si>
  <si>
    <t>Old Glove</t>
  </si>
  <si>
    <t>Flinkpfeil / Quick Arrow</t>
  </si>
  <si>
    <t>Ammunition</t>
  </si>
  <si>
    <t>Arrow with Speed</t>
  </si>
  <si>
    <t>Rusted Zweihander</t>
  </si>
  <si>
    <t>Zielpfeil / Aiming Arrow</t>
  </si>
  <si>
    <t>Arrow with Crit</t>
  </si>
  <si>
    <t>Rusted Trident</t>
  </si>
  <si>
    <t>Wünschelrute / Dowsing Rod</t>
  </si>
  <si>
    <t>Staff with search skill</t>
  </si>
  <si>
    <t>Broken Compass</t>
  </si>
  <si>
    <t>Geisterstab / Ghost Staff</t>
  </si>
  <si>
    <t>Staff for Alchemist</t>
  </si>
  <si>
    <t>Emerald Ring</t>
  </si>
  <si>
    <t>Gralschlüssel / Gral Key</t>
  </si>
  <si>
    <t>Key in the Gral temple</t>
  </si>
  <si>
    <t>Ranger Suit</t>
  </si>
  <si>
    <t>Basische Pflanze / Alkaline Plant</t>
  </si>
  <si>
    <t>Quest item in wasp’s nest</t>
  </si>
  <si>
    <t>Ring of S’Riel</t>
  </si>
  <si>
    <t>Neutralisierer / Neutralizer</t>
  </si>
  <si>
    <t>Climbing Gear</t>
  </si>
  <si>
    <t>Schwerer Stein / Heavy Stone</t>
  </si>
  <si>
    <t>Quest item in Gral temple</t>
  </si>
  <si>
    <t>Crescent Blade</t>
  </si>
  <si>
    <t>Geisterinferno/ Ghost Inferno</t>
  </si>
  <si>
    <t>Spell Scroll</t>
  </si>
  <si>
    <t>Rebel’s Armour</t>
  </si>
  <si>
    <t>Smaragdkette / Emerald Chain</t>
  </si>
  <si>
    <t>Chain</t>
  </si>
  <si>
    <t>Desert Amulet</t>
  </si>
  <si>
    <t>Wespenessenz / Wasp Essence</t>
  </si>
  <si>
    <t>Desert Boots</t>
  </si>
  <si>
    <t>Wespenkern / Wasp Core</t>
  </si>
  <si>
    <t>Provides Magic Projectiles spell for animals (60)</t>
  </si>
  <si>
    <t>Rebel Belongings</t>
  </si>
  <si>
    <t>Wespenreitgeschirr / Wasp Harness</t>
  </si>
  <si>
    <t>Allows riding on wasps on the forest moon</t>
  </si>
  <si>
    <t>Antikes Fragment</t>
  </si>
  <si>
    <t>Roberts Waffe / Robert’s Weapon</t>
  </si>
  <si>
    <t>Very powerful weapon for game testing</t>
  </si>
  <si>
    <t>Gelbe Karte</t>
  </si>
  <si>
    <t>Grav. Kugel Grün / Green Carved Sphere</t>
  </si>
  <si>
    <t>New teleporter stone</t>
  </si>
  <si>
    <t>Blaue Karte</t>
  </si>
  <si>
    <t>Blitzkern / Lightning Core</t>
  </si>
  <si>
    <t>Quest item in antique catacombs</t>
  </si>
  <si>
    <t>Grüne Karte</t>
  </si>
  <si>
    <t>Saphirdistel / Sapphire Thistle</t>
  </si>
  <si>
    <t>Quest item in The Nest</t>
  </si>
  <si>
    <t>Rote Karte</t>
  </si>
  <si>
    <t>Blaues Gebräu / Blue Brew</t>
  </si>
  <si>
    <t>All healing</t>
  </si>
  <si>
    <t>Goldenes M</t>
  </si>
  <si>
    <t>Gralharnisch / Gral Armour</t>
  </si>
  <si>
    <t>Cursed armor in gral temple</t>
  </si>
  <si>
    <t>Goldenes O</t>
  </si>
  <si>
    <t>Krondir drop, needed to proceed</t>
  </si>
  <si>
    <t>Goldenes R</t>
  </si>
  <si>
    <t>Verstärktes Trii / Empowered Trii</t>
  </si>
  <si>
    <t>Empowered version, allows to remove walls and repair portal</t>
  </si>
  <si>
    <t>Goldenes A</t>
  </si>
  <si>
    <t>Seltsame Früchte / Strange Fruits</t>
  </si>
  <si>
    <t>Allheilung</t>
  </si>
  <si>
    <t>Goldenes G</t>
  </si>
  <si>
    <t>Drelb’s Zertifikat / Drelb’s Certificate</t>
  </si>
  <si>
    <t>Text Item</t>
  </si>
  <si>
    <t>Suchquest Gnommine</t>
  </si>
  <si>
    <t>Energieschwert</t>
  </si>
  <si>
    <t>Drelb’s Brosche / Drelb’s Brooch</t>
  </si>
  <si>
    <t>Belohnung Suchquest Gnommine</t>
  </si>
  <si>
    <t>Rebellendolch</t>
  </si>
  <si>
    <t>Zwergenschild / Dwarf Shield</t>
  </si>
  <si>
    <t>New Shield</t>
  </si>
  <si>
    <t>Zeige Elemente / Show Elements</t>
  </si>
  <si>
    <t>Schwachp. Erkennen / Recognize Weak Point</t>
  </si>
  <si>
    <t>Schwächen sehen / See weaknesses</t>
  </si>
  <si>
    <t>Kenntn. d. Schwäche / Knowledge of weakness</t>
  </si>
  <si>
    <t>Magie vorhersehen / Foresee magic</t>
  </si>
  <si>
    <t>Angriff vorhersehen / Foresee attacks</t>
  </si>
  <si>
    <t>Mystischer Verfall / Mystic Decay</t>
  </si>
  <si>
    <t>Schutzsphäre / Protection Sphere</t>
  </si>
  <si>
    <t>Targor’s Notizen / Targor’s Notes</t>
  </si>
  <si>
    <t>Mystikerbuch / Mystic’s Book</t>
  </si>
  <si>
    <t>Mystikerschlüssel / Mystic’s Key</t>
  </si>
  <si>
    <t>Silberner Dietrich / Silver Lockpick</t>
  </si>
  <si>
    <t>Diebeshandschuh / Thief’s Glove</t>
  </si>
  <si>
    <t>Aman’s Schlüssel / Aman’s Key</t>
  </si>
  <si>
    <t>Schleichumhang / Sneak Cape</t>
  </si>
  <si>
    <t>Alter Hut / Old Hat</t>
  </si>
  <si>
    <t>Quest Item</t>
  </si>
  <si>
    <t>Rostiger Zweihänder / Rusted Zweihander</t>
  </si>
  <si>
    <t>Rostiger Trident / Rusted Trident</t>
  </si>
  <si>
    <t>Kaputter Kompass / Broken Compass</t>
  </si>
  <si>
    <t>Alter Handschuh / Old Glove</t>
  </si>
  <si>
    <t>Aman’s Notiz / Aman’s Note</t>
  </si>
  <si>
    <t>Schurkenring / Rogue’s Ring</t>
  </si>
  <si>
    <t>Meuchlerring / Assassin’s Ring</t>
  </si>
  <si>
    <t>Ehering / Wedding Ring</t>
  </si>
  <si>
    <t>Quest item for Dorina which also gives charisma</t>
  </si>
  <si>
    <t>Alchemistenkrone / Alchemist’s Crown</t>
  </si>
  <si>
    <t>Headgear</t>
  </si>
  <si>
    <t>Alchemist headgear with high dmg but 100% atk penalty (for ghost magic)</t>
  </si>
  <si>
    <t>Rangergewand / Ranger’s Suit</t>
  </si>
  <si>
    <t>Ranger armor</t>
  </si>
  <si>
    <t>Element zu Erde / Element to earth</t>
  </si>
  <si>
    <t>Element zu Wind / Element to wind</t>
  </si>
  <si>
    <t>Element zu Feuer / Element to fire</t>
  </si>
  <si>
    <t>Element zu Wasser / Element to water</t>
  </si>
  <si>
    <t>Leonaria’s Tagebuch / Leonaria’s Diary</t>
  </si>
  <si>
    <t>Book</t>
  </si>
  <si>
    <t>Zettel / Note</t>
  </si>
  <si>
    <t>Wärterschlüssel / Guard Key</t>
  </si>
  <si>
    <t>Morag Dolch / Morag Dagger</t>
  </si>
  <si>
    <t>Universalschlüssel / Universal Key</t>
  </si>
  <si>
    <t>Ring des S’Riel / Ring of S’Riel</t>
  </si>
  <si>
    <t>Gefängnisschlüssel / Prison Key</t>
  </si>
  <si>
    <t>Kletterhaken / Climbing Gear</t>
  </si>
  <si>
    <t>Unlimited rope</t>
  </si>
  <si>
    <t>Giftphiole / Poison Bottle</t>
  </si>
  <si>
    <t>Special Item</t>
  </si>
  <si>
    <t>Use poison spell on usage</t>
  </si>
  <si>
    <t>Sichelklinge / Crescent Blade</t>
  </si>
  <si>
    <t>Rebellenrüstung / Rebel’s Armour</t>
  </si>
  <si>
    <t>Armour</t>
  </si>
  <si>
    <t>Wüstenamulett / Desert Amulet</t>
  </si>
  <si>
    <t>Wüstenstiefel / Desert Boots</t>
  </si>
  <si>
    <t>Boots</t>
  </si>
  <si>
    <t>Rebellenausrüstung / Rebel’s Belongings</t>
  </si>
  <si>
    <t>Geheimer Schlüssel / Secret Key</t>
  </si>
  <si>
    <t>Geheimer Zettel / Secret Note</t>
  </si>
  <si>
    <t>Antikes Fragment / Ancient Shard</t>
  </si>
  <si>
    <t>Exp Ersatz für Level 51+</t>
  </si>
  <si>
    <t>Altäre / Altars</t>
  </si>
  <si>
    <t>Liste mit Koordinaten</t>
  </si>
  <si>
    <t>Gelbe Platte / Yellow Plate</t>
  </si>
  <si>
    <t>Blaue Platte / Blue Plate</t>
  </si>
  <si>
    <t>Grüne Platte / Green Plate</t>
  </si>
  <si>
    <t>Rote Platte / Red Plate</t>
  </si>
  <si>
    <t>Goldenes M / Golden M</t>
  </si>
  <si>
    <t>Goldenes O / Golden O</t>
  </si>
  <si>
    <t>Goldenes R / Golden R</t>
  </si>
  <si>
    <t>Goldenes A / Golden A</t>
  </si>
  <si>
    <t>Goldenes G / Golden G</t>
  </si>
  <si>
    <t>Energieschwert / Energy Sword</t>
  </si>
  <si>
    <t>Rebellendolch / Rebel’s Dagger</t>
  </si>
  <si>
    <t>Haftbombe / Sticky Bomb</t>
  </si>
  <si>
    <t>ID</t>
  </si>
  <si>
    <t>Group ID</t>
  </si>
  <si>
    <t>Changed Monster</t>
  </si>
  <si>
    <t>Riesenspinne</t>
  </si>
  <si>
    <t>End boss of your cave</t>
  </si>
  <si>
    <t>Höhlenspinne</t>
  </si>
  <si>
    <t>Monster in Ship's end</t>
  </si>
  <si>
    <t>3x Höhlenspinne</t>
  </si>
  <si>
    <t>Ghul</t>
  </si>
  <si>
    <t>Element changed from None to Undead</t>
  </si>
  <si>
    <t>Untoter Krieger</t>
  </si>
  <si>
    <t>Monster in Manyeyes' castle</t>
  </si>
  <si>
    <t>4x Höhlenspinne</t>
  </si>
  <si>
    <t>Lich Lord</t>
  </si>
  <si>
    <t>Now drops 3x Lame and 1x Irritation scrolls in addition</t>
  </si>
  <si>
    <t>Untoter Magier</t>
  </si>
  <si>
    <t>2x Untoter Krieger</t>
  </si>
  <si>
    <t>Untoter Lord</t>
  </si>
  <si>
    <t>Boss in Manyeyes' castle</t>
  </si>
  <si>
    <t>2x Untoter Krieger, 1x Untoter Magier</t>
  </si>
  <si>
    <t>Einauge</t>
  </si>
  <si>
    <t>3x Untoter Krieger, 2x Untoter Magier</t>
  </si>
  <si>
    <t>1x Untoter Lord, 1x Untoter Krieger, 3x Untoter Magier</t>
  </si>
  <si>
    <t>Untoter</t>
  </si>
  <si>
    <t>1x Einauge (Typ 1), 12x Untoter</t>
  </si>
  <si>
    <t>Demon Spawn</t>
  </si>
  <si>
    <t>Monster in Black Mountains</t>
  </si>
  <si>
    <t>1x Einauge (Typ 2), 12x Untoter</t>
  </si>
  <si>
    <t>Lava Dragon</t>
  </si>
  <si>
    <t>3x Einauge (Typ 1), 2x Einauge (Typ 2)</t>
  </si>
  <si>
    <t>Pyrdacor</t>
  </si>
  <si>
    <t>Boss in Black Mountains</t>
  </si>
  <si>
    <t>2x Demon Spawn</t>
  </si>
  <si>
    <t>3x Demon Spawn</t>
  </si>
  <si>
    <t>1x Lava Dragon</t>
  </si>
  <si>
    <t>Untoter Paladin</t>
  </si>
  <si>
    <t>Untoter in Paladingilde</t>
  </si>
  <si>
    <t>3x Lava Dragon</t>
  </si>
  <si>
    <t>Paladinmeister</t>
  </si>
  <si>
    <t>Untoter Boss in Paladingilde</t>
  </si>
  <si>
    <t>2x Demon Spawn, 2x Lava Dragon</t>
  </si>
  <si>
    <t>Wüstengolem</t>
  </si>
  <si>
    <t>Schwächere Variante für den Endkampf</t>
  </si>
  <si>
    <t>2x Demon Spawn, 1x Pyrdacor (Typ 1)</t>
  </si>
  <si>
    <t>Monster im Wüstentempel</t>
  </si>
  <si>
    <t>4x Demon Spawn</t>
  </si>
  <si>
    <t>Marla</t>
  </si>
  <si>
    <t>Boss im Wüstentempel</t>
  </si>
  <si>
    <t>1x Untoter Paladin</t>
  </si>
  <si>
    <t>Goldene Echse</t>
  </si>
  <si>
    <t>Spezielle Echse bei Burnville</t>
  </si>
  <si>
    <t>2x Untoter Paladin</t>
  </si>
  <si>
    <t>Ruheloser Geist</t>
  </si>
  <si>
    <t>Questmonster auf Friedhof</t>
  </si>
  <si>
    <t>4x Untoter Paladin, 1x Paladinmeister</t>
  </si>
  <si>
    <t>Der Verfluchte</t>
  </si>
  <si>
    <t>Questmonster Ebene von Thal</t>
  </si>
  <si>
    <t>4x Untoter Paladin</t>
  </si>
  <si>
    <t>Schwarmwespe</t>
  </si>
  <si>
    <t>Monster im Wespennest</t>
  </si>
  <si>
    <t>2x Höhlenspinne, 2x Gr. Giftspinne</t>
  </si>
  <si>
    <t>Wespenkönigin</t>
  </si>
  <si>
    <t>Boss im Wespennest</t>
  </si>
  <si>
    <t>2x Lava Dragon, 1x Pyrdacor (Typ 2)</t>
  </si>
  <si>
    <t>Pirate</t>
  </si>
  <si>
    <t>Monster auf dem Meer</t>
  </si>
  <si>
    <t>**missing**</t>
  </si>
  <si>
    <t>2x Demon Spawn, 2x Imp, 1x Lavadragon, 1x Pyrdacor (Typ 3)</t>
  </si>
  <si>
    <t>Pirate Captain</t>
  </si>
  <si>
    <t>Boss auf dem Meer</t>
  </si>
  <si>
    <t>1x Wüstengolem</t>
  </si>
  <si>
    <t>Sumpfwespe</t>
  </si>
  <si>
    <t>Monster im Graltempel</t>
  </si>
  <si>
    <t>1x Marla, 6x Wüstengolem (schwach)</t>
  </si>
  <si>
    <t>Gralkrieger</t>
  </si>
  <si>
    <t>1x Goldene Echse</t>
  </si>
  <si>
    <t>Gralmagier</t>
  </si>
  <si>
    <t>1x Ruheloser Geist</t>
  </si>
  <si>
    <t>Diokhar</t>
  </si>
  <si>
    <t>Boss im Graltempel</t>
  </si>
  <si>
    <t>1x Der Verfluchte</t>
  </si>
  <si>
    <t>Kampfwächter</t>
  </si>
  <si>
    <t>Boss im Untergrund (Kraftprobe)</t>
  </si>
  <si>
    <t>1x Schwarmwespe</t>
  </si>
  <si>
    <t>Krondir</t>
  </si>
  <si>
    <t>Monster in der Krondirhöhle</t>
  </si>
  <si>
    <t>2x Schwarmwespe</t>
  </si>
  <si>
    <t>Großer Krondir</t>
  </si>
  <si>
    <t>4x Schwarmwespe</t>
  </si>
  <si>
    <t>Krondir (outside)</t>
  </si>
  <si>
    <t>Monster auf Albion</t>
  </si>
  <si>
    <t>1x Wespenkönigin, 4x Schwarmwespe</t>
  </si>
  <si>
    <t>Wächterspinne</t>
  </si>
  <si>
    <t>Monster im Mystikerturm</t>
  </si>
  <si>
    <t>4x Sumpfwespe</t>
  </si>
  <si>
    <t xml:space="preserve">Prüfungsdämon / Trial Demon </t>
  </si>
  <si>
    <t>1x Gral Krieger, 2x Gral Magier</t>
  </si>
  <si>
    <t>Gildendieb / Guild Thief</t>
  </si>
  <si>
    <t>Monster in second thief quest</t>
  </si>
  <si>
    <t>4x Gral Krieger</t>
  </si>
  <si>
    <t>Testmonster</t>
  </si>
  <si>
    <t>Monster for testing stuff</t>
  </si>
  <si>
    <t>2x Gral Krieger, 2x Gral Magier</t>
  </si>
  <si>
    <t>Staubteufel</t>
  </si>
  <si>
    <t>Monster auf Morag</t>
  </si>
  <si>
    <t>1x Diokhar, 2x Gral Krieger, 3x Gral Magier</t>
  </si>
  <si>
    <t>Wärter (First Key)</t>
  </si>
  <si>
    <t>Moraner im Gefängnis</t>
  </si>
  <si>
    <t>4x Gral Krieger, 2x Gral Magier</t>
  </si>
  <si>
    <t>Maschine / Machine</t>
  </si>
  <si>
    <t>6x Gral Krieger, 2x Gral Magier</t>
  </si>
  <si>
    <t>Wärter (Second Key)</t>
  </si>
  <si>
    <t>4x Hauptwächter</t>
  </si>
  <si>
    <t>Morag Echse</t>
  </si>
  <si>
    <t>Copy but without dropping a key</t>
  </si>
  <si>
    <t>1x Riesenwächter</t>
  </si>
  <si>
    <t>Insasse</t>
  </si>
  <si>
    <t>3x Wüstengolem (schwach)</t>
  </si>
  <si>
    <t>Wärter (Third Key)</t>
  </si>
  <si>
    <t>2x Wüstengolem (schwach)</t>
  </si>
  <si>
    <t>Kerkermeister / Chief Guard</t>
  </si>
  <si>
    <t>Boss im Gefängnis</t>
  </si>
  <si>
    <t>1x Krondir</t>
  </si>
  <si>
    <t>Mechan. Wache 1 / Mechanic Guard 1</t>
  </si>
  <si>
    <t>Roboter</t>
  </si>
  <si>
    <t>1x Großer Krondir</t>
  </si>
  <si>
    <t>Mechan. Wache 2 / Mechanic Guard 2</t>
  </si>
  <si>
    <t>1x Krondir (outside)</t>
  </si>
  <si>
    <t>Mechan. Wache 3 / Mechanic Guard 3</t>
  </si>
  <si>
    <t>1x Krondir, 1x Großer Krondir</t>
  </si>
  <si>
    <t>Mechan. Wache 4 / Mechanic Guard 4</t>
  </si>
  <si>
    <t>1x Wächterspinne</t>
  </si>
  <si>
    <t>Mechan. Wache 5 / Mechanic Guard 5</t>
  </si>
  <si>
    <t>4x Große Giftspinne</t>
  </si>
  <si>
    <t>Antiker Wächter / Antique Guard</t>
  </si>
  <si>
    <t>Roboter Boss</t>
  </si>
  <si>
    <t>1x Prüfungsdämon</t>
  </si>
  <si>
    <t>1x Magische Wache (Luftschiff)</t>
  </si>
  <si>
    <t>2x Gildendieb</t>
  </si>
  <si>
    <t>1x Moragechse (Luftschiff)</t>
  </si>
  <si>
    <t>3x Gildendieb</t>
  </si>
  <si>
    <t>1x Testmonster</t>
  </si>
  <si>
    <t>1x Staubteufel</t>
  </si>
  <si>
    <t>1x Wärter (1. Key)</t>
  </si>
  <si>
    <t>1x Wärter + 1x Morag Echse (2. Key)</t>
  </si>
  <si>
    <t>1x Insasse</t>
  </si>
  <si>
    <t>1x Wärter (3. Key)</t>
  </si>
  <si>
    <t>1x Kerkermeister</t>
  </si>
  <si>
    <t>1x Mechanische Wache 1</t>
  </si>
  <si>
    <t>1x Mechanische Wache 2</t>
  </si>
  <si>
    <t>1x Mechanische Wache 3</t>
  </si>
  <si>
    <t>1x Mechanische Wache 4</t>
  </si>
  <si>
    <t>1x Mechanische Wache 5</t>
  </si>
  <si>
    <t>1x Antiker Wächter (111)</t>
  </si>
  <si>
    <r>
      <rPr>
        <sz val="11"/>
        <color rgb="FF000000"/>
        <rFont val="Calibri"/>
        <family val="2"/>
        <charset val="1"/>
      </rPr>
      <t xml:space="preserve">1x Magische Wache + </t>
    </r>
    <r>
      <rPr>
        <sz val="11"/>
        <color rgb="FF000000"/>
        <rFont val="Calibri"/>
        <family val="2"/>
      </rPr>
      <t>1x Moragechse</t>
    </r>
    <r>
      <rPr>
        <sz val="11"/>
        <color rgb="FF000000"/>
        <rFont val="Calibri"/>
        <family val="2"/>
        <charset val="1"/>
      </rPr>
      <t xml:space="preserve"> (Luftschiff)</t>
    </r>
  </si>
  <si>
    <t>Auge des Strudels / Eye of the vortex</t>
  </si>
  <si>
    <t>2D</t>
  </si>
  <si>
    <t>Map inside the vortex</t>
  </si>
  <si>
    <t>Höhle der Meerjungfrau / Cave of the mermaid</t>
  </si>
  <si>
    <t>You can meet the Mermaid here</t>
  </si>
  <si>
    <t>Ship's end</t>
  </si>
  <si>
    <t>3D</t>
  </si>
  <si>
    <t>Abandoned village inside the vortex</t>
  </si>
  <si>
    <t>Verlassene Hütte / Abandoned Hut</t>
  </si>
  <si>
    <t>Abandoned hut in Ship's end</t>
  </si>
  <si>
    <t>Cavetown</t>
  </si>
  <si>
    <t>Town inside the vortex around Manyeyes' castle</t>
  </si>
  <si>
    <t>Zum Schlafenden Auge / The Sleeping Eye</t>
  </si>
  <si>
    <t>Tavern in cavetown</t>
  </si>
  <si>
    <t>Pförtnerhaus / Gatekeeper's House</t>
  </si>
  <si>
    <t>3 houses in cavetown</t>
  </si>
  <si>
    <t>Isdir’s Höhle / Isdir’s Cave</t>
  </si>
  <si>
    <t>Ice temple</t>
  </si>
  <si>
    <t>Wespennest / Wasps' Nest</t>
  </si>
  <si>
    <t>Dungeon on Kire's moon</t>
  </si>
  <si>
    <t>Fallender Raum / Falling Room</t>
  </si>
  <si>
    <t>Elevator between wasp nest and antique vault</t>
  </si>
  <si>
    <t>Antikes Gewölbe / Antique Vault</t>
  </si>
  <si>
    <t>Dungeon on Kire's moon below (wasps's nest)</t>
  </si>
  <si>
    <t>Das Nest / The Nest</t>
  </si>
  <si>
    <t>Tavern in Dor Grestin</t>
  </si>
  <si>
    <t>Krondirhöhle / Krondir Cave</t>
  </si>
  <si>
    <t>Albion cave</t>
  </si>
  <si>
    <t>Unbekannte Welt / Unknown World</t>
  </si>
  <si>
    <t>Albion</t>
  </si>
  <si>
    <t>Ausgang / Exit</t>
  </si>
  <si>
    <t>Shortcut from Antique Area to Dor Kiredon</t>
  </si>
  <si>
    <t>Architektenbüro / Architect's Office</t>
  </si>
  <si>
    <t>You can meet Karl the architect here who can renovate your house, create a wind gate or a cave</t>
  </si>
  <si>
    <t>Tierhandlung / Pet Shop</t>
  </si>
  <si>
    <t>You can meet Ferdinand who sells you a cat and a dog, there is also a merchant for pet stuff</t>
  </si>
  <si>
    <t>Dein Haus / Your House</t>
  </si>
  <si>
    <t>Renovated version of your house, it also contains your pets if you unlock them</t>
  </si>
  <si>
    <t>Deine Höhle - Obere Ebene / Your Cave - Upper Level</t>
  </si>
  <si>
    <t>Small cave, Karl built for your</t>
  </si>
  <si>
    <t>Deine Höhle - Untere Ebene / Your Cave - Lower Level</t>
  </si>
  <si>
    <t>Vielauge's Schloss 1 / Manyeyes' Castle 1</t>
  </si>
  <si>
    <t>Ground floor of Manyeyes' castle including the office</t>
  </si>
  <si>
    <t>Vielauge's Schloss 2 / Manyeyes' Castle 2</t>
  </si>
  <si>
    <t>Upper floor of Manyeyes' castle</t>
  </si>
  <si>
    <t>Vielauge's Keller / Manyeyes' Cellar</t>
  </si>
  <si>
    <t>Cellar of Manyeyes' castle</t>
  </si>
  <si>
    <t>Black Mountains - 1 / Schwarzberge – 1</t>
  </si>
  <si>
    <t>First level of the black mountains dungeon</t>
  </si>
  <si>
    <t>Black Mountains – 2 / Schwarzberge - 2</t>
  </si>
  <si>
    <t>Second level of the black mountains dungeon</t>
  </si>
  <si>
    <t>Black Mountains – 3 / Schwarzberge - 3</t>
  </si>
  <si>
    <t>Third level of the black mountains dungeon</t>
  </si>
  <si>
    <t>The Lavastream / Der Lavastrom</t>
  </si>
  <si>
    <t>Part of the black mountains dungeon (rafting a river of lava)</t>
  </si>
  <si>
    <t>Eyrie / Adlerhorst</t>
  </si>
  <si>
    <t>Desert Temple / Wüstentempel</t>
  </si>
  <si>
    <t>Crystal Wine Cellar / Crystal Weinkeller</t>
  </si>
  <si>
    <t>Paladin Guild 1 / Paladingilde 1</t>
  </si>
  <si>
    <t>Dark map (minimized version)</t>
  </si>
  <si>
    <t>Bright map (extended version)</t>
  </si>
  <si>
    <t>Paladin Guild 2 / Paladingilde 2</t>
  </si>
  <si>
    <t>Beneath the sands / Unter  dem Sand</t>
  </si>
  <si>
    <t>Desert temple underground</t>
  </si>
  <si>
    <t>Grail Temple / Graltempel</t>
  </si>
  <si>
    <t>Swamp temple</t>
  </si>
  <si>
    <t>Drelb’s Wohnhöhle / Drelb’s Living Cave</t>
  </si>
  <si>
    <t>Search trainer Drelb’s house in the gnome mine</t>
  </si>
  <si>
    <t>Alter Kanal / Old Sewers</t>
  </si>
  <si>
    <t>Canals below Gral temple</t>
  </si>
  <si>
    <t>Mystikerturm / Mystic Tower</t>
  </si>
  <si>
    <t>New tower</t>
  </si>
  <si>
    <t>Gefängnis / Prison</t>
  </si>
  <si>
    <t>S’Angrila Prison</t>
  </si>
  <si>
    <t>Dunkles Haus / Shady House</t>
  </si>
  <si>
    <t>Rebellenversteck / Rebel’s Hideout</t>
  </si>
  <si>
    <t>Weiser / Wise Man</t>
  </si>
  <si>
    <t>Alte Stadt / Ancient City</t>
  </si>
  <si>
    <t>Altes Gebäude / Ancient Building</t>
  </si>
  <si>
    <t>Alter Tempel / Ancient Temple</t>
  </si>
  <si>
    <t>Luftschiff / Airship</t>
  </si>
  <si>
    <t>Sabotage action</t>
  </si>
  <si>
    <t>New labdata</t>
  </si>
  <si>
    <t>Usage</t>
  </si>
  <si>
    <t>Extended labdata</t>
  </si>
  <si>
    <t>Added</t>
  </si>
  <si>
    <t>Manyeyes’ castle</t>
  </si>
  <si>
    <t>Your Cave</t>
  </si>
  <si>
    <t>Big hole up and down</t>
  </si>
  <si>
    <t>Black mountains</t>
  </si>
  <si>
    <t>Ship’s end</t>
  </si>
  <si>
    <t>Barrel</t>
  </si>
  <si>
    <t>Isdir’s cave</t>
  </si>
  <si>
    <t>Palisade wall/door</t>
  </si>
  <si>
    <t>Gral temple</t>
  </si>
  <si>
    <t>Spannenberg</t>
  </si>
  <si>
    <t>Bowls for cats and dogs</t>
  </si>
  <si>
    <t>Elevator</t>
  </si>
  <si>
    <t>Desert temple</t>
  </si>
  <si>
    <t>Statues and a lot of stuff</t>
  </si>
  <si>
    <t>Antique Vault</t>
  </si>
  <si>
    <t>Paladin Guild</t>
  </si>
  <si>
    <t>A lot</t>
  </si>
  <si>
    <t>Krondir cave</t>
  </si>
  <si>
    <t>Wasp Dungeon</t>
  </si>
  <si>
    <t>Morag prison</t>
  </si>
  <si>
    <t>Gnome Mine</t>
  </si>
  <si>
    <t>Pile</t>
  </si>
  <si>
    <t>Ancient city</t>
  </si>
  <si>
    <t>Ancient temple</t>
  </si>
  <si>
    <t>Sabotage Airship</t>
  </si>
  <si>
    <t>World map</t>
  </si>
  <si>
    <t>Added event to enter desert temple</t>
  </si>
  <si>
    <t>Added event to enter Crystal ruins and added sign</t>
  </si>
  <si>
    <t>Added eyrie entrance door</t>
  </si>
  <si>
    <t>Added event for sea monster</t>
  </si>
  <si>
    <t>Added events for the cursed beast</t>
  </si>
  <si>
    <t>Added event to open the fire temple entrance</t>
  </si>
  <si>
    <t>World map outside your house</t>
  </si>
  <si>
    <t>Added teleport to renovated house (with condition)
Added wind gate teleport (with condition)
Added cave teleport (deactivated at start)
Made back tiles below later cave black
NPC Karl can create a wind gate there</t>
  </si>
  <si>
    <t>Added event for mermaid</t>
  </si>
  <si>
    <t>World map with isle of winds</t>
  </si>
  <si>
    <t>Added wind gate teleport to your house (with condition)
NPC Karl can create an additional wind gate there</t>
  </si>
  <si>
    <t>Added desert lizard events near Burnville</t>
  </si>
  <si>
    <t>Added event for obtaining the green snake</t>
  </si>
  <si>
    <t>Thalion office</t>
  </si>
  <si>
    <t>Added Alex</t>
  </si>
  <si>
    <t>Grandpa's house</t>
  </si>
  <si>
    <t>Removing the picture will also remove it on map 458 (your house)</t>
  </si>
  <si>
    <t>Grandpa's cellar</t>
  </si>
  <si>
    <t>Added teleport to renovated house (with condition)</t>
  </si>
  <si>
    <t>Secret room</t>
  </si>
  <si>
    <t>Removed some walls
Added door and goto point for architect's office
Added door and goto point for pet shop</t>
  </si>
  <si>
    <t>Town house</t>
  </si>
  <si>
    <t>Added NPC and party member Kasimir (tomcat)</t>
  </si>
  <si>
    <t>Tavern of the goddess</t>
  </si>
  <si>
    <t>Global var 226 is now set when you enter the tavern, added NPC Gustav who talks about Karl</t>
  </si>
  <si>
    <t>Map</t>
  </si>
  <si>
    <t>Kasimir</t>
  </si>
  <si>
    <t>Town House (273)</t>
  </si>
  <si>
    <t>Tomcat who has hunger. If you give him a ration or pet food you get exp and will be allowed to buy a cat from Ferdinand</t>
  </si>
  <si>
    <t>Theodorus</t>
  </si>
  <si>
    <t>Architect's Office (456)</t>
  </si>
  <si>
    <t>The architect. Can renovate your house (needed to get pets), create a wind gate near the house to teleport to the isle of winds and a cave (with a small reward at the end).</t>
  </si>
  <si>
    <t>Deine Katze / Your Cat</t>
  </si>
  <si>
    <t>Your House (458)</t>
  </si>
  <si>
    <t>Dein Hund / Your Dog</t>
  </si>
  <si>
    <t>Ferdinand</t>
  </si>
  <si>
    <t>Pet Shop (457)</t>
  </si>
  <si>
    <t>Pet dealer. Can sell you a cat and gives you a dog as well if you prove that you like animals.</t>
  </si>
  <si>
    <t>Tristan</t>
  </si>
  <si>
    <t>Cavetown Inn (375)</t>
  </si>
  <si>
    <t>Administrator of cavetown</t>
  </si>
  <si>
    <t>Alex</t>
  </si>
  <si>
    <t>Thalion Office (257)</t>
  </si>
  <si>
    <t>Alex Holland</t>
  </si>
  <si>
    <t>Jeff</t>
  </si>
  <si>
    <t>Gatekeeper's House (376)</t>
  </si>
  <si>
    <t>Gatekeeper in middle house who wants a drink for the key</t>
  </si>
  <si>
    <t>Luke</t>
  </si>
  <si>
    <t>Gatekeeper in the right house who wants a treasure</t>
  </si>
  <si>
    <t>Gustav</t>
  </si>
  <si>
    <t>Tavern of the goddess (421)</t>
  </si>
  <si>
    <t>Former apprentice of Karl</t>
  </si>
  <si>
    <t>Morgat</t>
  </si>
  <si>
    <t>Nalven’s magical school (290)</t>
  </si>
  <si>
    <t>Quest of golden lizards</t>
  </si>
  <si>
    <t>Melvin</t>
  </si>
  <si>
    <t>Snakesign (420)</t>
  </si>
  <si>
    <t>Quest to open Gral Temple</t>
  </si>
  <si>
    <t>Hudyn</t>
  </si>
  <si>
    <t>Wasp’s Nest (378)</t>
  </si>
  <si>
    <t>Male forest walker</t>
  </si>
  <si>
    <t>Sheera</t>
  </si>
  <si>
    <t>Krondir Cave (380)</t>
  </si>
  <si>
    <t>Female feline</t>
  </si>
  <si>
    <t>Drelb</t>
  </si>
  <si>
    <t>Drelb’s Cave (476)</t>
  </si>
  <si>
    <t>Search trainer in the gnome mine</t>
  </si>
  <si>
    <t>Feldrar</t>
  </si>
  <si>
    <t>The Nest (381)</t>
  </si>
  <si>
    <t>Dwarf who teaches you wasp riding</t>
  </si>
  <si>
    <t>Brogat</t>
  </si>
  <si>
    <t>Dwarf who gives you herb gathering quest</t>
  </si>
  <si>
    <t>Wärter / Guard</t>
  </si>
  <si>
    <t>Gefängnis (479)</t>
  </si>
  <si>
    <t>Gefangener</t>
  </si>
  <si>
    <t>Changed NPCS:</t>
  </si>
  <si>
    <t>S’Eren</t>
  </si>
  <si>
    <t>Versteck (481)</t>
  </si>
  <si>
    <t>Torle</t>
  </si>
  <si>
    <t>Added sea quest events</t>
  </si>
  <si>
    <t>Weiser</t>
  </si>
  <si>
    <t>Weiser von S’Angrila (482)</t>
  </si>
  <si>
    <t>Michael</t>
  </si>
  <si>
    <t>Content</t>
  </si>
  <si>
    <t>Changed Chests</t>
  </si>
  <si>
    <t>3x Healing Potion III, 3x Spell Potion III, 1x Healing Potion IV</t>
  </si>
  <si>
    <t>Your Cave (459)</t>
  </si>
  <si>
    <t>2x Rope</t>
  </si>
  <si>
    <t>Grandpa's cellar (259)</t>
  </si>
  <si>
    <t>Removed all scrolls, ropes, strengthen potion and spell potions. Added short sword, lockpicks and a lantern.</t>
  </si>
  <si>
    <t>1x Levitation, 1x Healing Potion II</t>
  </si>
  <si>
    <t>Reduced food from 39 to 20</t>
  </si>
  <si>
    <t>Your Cave (460)</t>
  </si>
  <si>
    <t>3x Torch</t>
  </si>
  <si>
    <t>Replaced shortsword by a dagger</t>
  </si>
  <si>
    <t>1x Rope</t>
  </si>
  <si>
    <t>Witch house (411)</t>
  </si>
  <si>
    <t>Replaced 29x Magic Projectile spell scrolls with 15x Lame scrolls</t>
  </si>
  <si>
    <t>Secret Room (262)</t>
  </si>
  <si>
    <t>Removed two of the three lanterns</t>
  </si>
  <si>
    <t>1x Gustav's Ring, 1x Wishing Coins</t>
  </si>
  <si>
    <t>Newlake Library (429)</t>
  </si>
  <si>
    <t>Replaced Mark/Return scrolls with Magic Sun and Remove Curse scrolls</t>
  </si>
  <si>
    <t>Eye of the vortex (370)</t>
  </si>
  <si>
    <t>1x Silver Cutlery</t>
  </si>
  <si>
    <t>Thief hideout cellar (276)</t>
  </si>
  <si>
    <t>Added 1x all healing potion</t>
  </si>
  <si>
    <t>1x Wind Pearl</t>
  </si>
  <si>
    <t>1x Ring of Sobek</t>
  </si>
  <si>
    <t>1000 Gold</t>
  </si>
  <si>
    <t>Gatekeeper's house (376)</t>
  </si>
  <si>
    <t>1x Stamina Potion, 3x Bitter, 5x Food</t>
  </si>
  <si>
    <t>1x Shovel, 2x Rope</t>
  </si>
  <si>
    <t>1x Iron Ring, 250 Gold</t>
  </si>
  <si>
    <t>Manyeyes'c castle 1 (461)</t>
  </si>
  <si>
    <t>1x Dark Dagger</t>
  </si>
  <si>
    <t>Reused chests</t>
  </si>
  <si>
    <t>1x Holy Horn, 1x Horned Helmet, 1x Scimitar, 800 Gold</t>
  </si>
  <si>
    <t>Original Map</t>
  </si>
  <si>
    <t>Used on</t>
  </si>
  <si>
    <t>1x Silver Cutlery, 3 Healing Potion III, 2 Spell Potion IV, 1 Healing Potion IV, 250 Gold</t>
  </si>
  <si>
    <t>345,348,355</t>
  </si>
  <si>
    <t>1x Bernsteinbrocken</t>
  </si>
  <si>
    <t>Manyeyes'c castle 2 (462)</t>
  </si>
  <si>
    <t>1x Ancient Key</t>
  </si>
  <si>
    <t>2x Healing Potion II, 2x Spell Potion III, 4x Antidot</t>
  </si>
  <si>
    <t>10x Healing Potion I, 5x Spell Potion I, 1x Firebrand, 150 Gold</t>
  </si>
  <si>
    <t>Extended Chest</t>
  </si>
  <si>
    <t>Manyeyes'c cellar (463)</t>
  </si>
  <si>
    <t>100 Gold, 6 Rationen</t>
  </si>
  <si>
    <t>As we have not enough chests and 256 are never needed, we use half of the door bits for 128 additional chests.</t>
  </si>
  <si>
    <t>1x Strength Potion, 1x Intelligence Potion, 2x Antidot, 5x Healing Potion IV, 3x Spell Potion III</t>
  </si>
  <si>
    <t>This limits the max door count to 128 but this is more than enough. It won’t break compatibility as no door indices in those are were used in original.</t>
  </si>
  <si>
    <t>5x Spell Potion V, 1x Stamina Potion, 1x Ghost Orb, 1x Speed Ring, 1x Zielbrosche</t>
  </si>
  <si>
    <t>Chests marked as Xnnn here are extended chests.</t>
  </si>
  <si>
    <t>1x Old Treasure Map</t>
  </si>
  <si>
    <t>The chest event will have a new chest loot flag which states if the chest is an extended one.</t>
  </si>
  <si>
    <t>Abandoned Hut (373)</t>
  </si>
  <si>
    <t>1x Shovel</t>
  </si>
  <si>
    <t>1x Old Diary, 1x Ring of Sobek</t>
  </si>
  <si>
    <t>1x Magic Flying Disc</t>
  </si>
  <si>
    <t>1x Witch Broom</t>
  </si>
  <si>
    <t>1x Wishing Coins</t>
  </si>
  <si>
    <t>Black Mountains – 2 (465)</t>
  </si>
  <si>
    <t>1x Firebrand</t>
  </si>
  <si>
    <t>1x Anti-Magic Ring, 5x Firestorm</t>
  </si>
  <si>
    <t>1x Anti-Magic Potion, 3x Healing Potion IV, 8x Firebeam</t>
  </si>
  <si>
    <t>1800 Gold</t>
  </si>
  <si>
    <t>1x Flame Key, 7x Waterfall, 3x Iceball, 1x Intelligence Potion</t>
  </si>
  <si>
    <t>1x Fire Key</t>
  </si>
  <si>
    <t>Crystal Wine Cellar (470)</t>
  </si>
  <si>
    <t>1x Old Wine</t>
  </si>
  <si>
    <t>1x Bitter</t>
  </si>
  <si>
    <t>3x Rope, 1x Gem, 4x Torch, 500 Gold</t>
  </si>
  <si>
    <t>1x Pickaxe, 1x Shovel</t>
  </si>
  <si>
    <t>1x Sandra’s Brooch, 1x Moon Amulet, 5x Old Wine, 2x Wishing Coins, 2000 Gold</t>
  </si>
  <si>
    <t>1x Giant Mallet</t>
  </si>
  <si>
    <t>4x Bitter, 2x Old Wine, 3x Antidote, 1x Torch</t>
  </si>
  <si>
    <t>1x Torch</t>
  </si>
  <si>
    <t>1x Ration</t>
  </si>
  <si>
    <t>Paladin Guild 2 (473)</t>
  </si>
  <si>
    <t>1x Mystic Creatures</t>
  </si>
  <si>
    <t>1x Paladins’ Relic, 1x Stone of Knowledge</t>
  </si>
  <si>
    <t>Many healing scrolls</t>
  </si>
  <si>
    <t>1x Gunbar’s Essence</t>
  </si>
  <si>
    <t>1x Zweihander, 1x Firebrand, 1x Crossbow, 50x Bolt, 1x Kleines Turmschild, 1x Großes Turmschild, 1x Kettenhemd, 1x Bänderpanzer, 1x Plattenpanzer, 1x Stahlhelm, 1x Fargon’s Essenz</t>
  </si>
  <si>
    <t>Black Mountains – 3 (466)</t>
  </si>
  <si>
    <t>1x Magic Raft</t>
  </si>
  <si>
    <t>Sansri’s Island (249)</t>
  </si>
  <si>
    <t>1x Poison Snake</t>
  </si>
  <si>
    <t>Plain of Thal (117)</t>
  </si>
  <si>
    <t>1x Blue Crystal</t>
  </si>
  <si>
    <t>Isdir’s Cave (377)</t>
  </si>
  <si>
    <t>1x Isdir’s Essence</t>
  </si>
  <si>
    <t>Lavastream (467)</t>
  </si>
  <si>
    <t>1x Magma Key, 1x Flamberge, 3000 Gold</t>
  </si>
  <si>
    <t>Eyrie (468)</t>
  </si>
  <si>
    <t>1x Lugthir’s Essence</t>
  </si>
  <si>
    <t>Nalven’s Magical School (290)</t>
  </si>
  <si>
    <t>1x Elemental Table</t>
  </si>
  <si>
    <t>Paladin Guild 1 (472)</t>
  </si>
  <si>
    <t>3x Healing Potion IV, 1x Strength Potion, 1x Paladin Emblem</t>
  </si>
  <si>
    <t>1x Stamina Potion, 1000 Gold, 1x Paladin Emblem</t>
  </si>
  <si>
    <t>3x Great Healing, 1x Holy Horn, 1x Paladin Emblem</t>
  </si>
  <si>
    <t>20x Bolt, 1x Crossbow, 1x Paladin Emblem</t>
  </si>
  <si>
    <t>1x Long Sword, 1x Short Sword, 1x Morning Star, 500 Gold, 1x Paladin Emblem</t>
  </si>
  <si>
    <t>2x Spell Potion III, 3x Healing Potion III, 1x Paladin Emblem</t>
  </si>
  <si>
    <t>1x Gemme, 1x Kettenhemd, 1x Lederstiefel, 1x Paladin Emblem</t>
  </si>
  <si>
    <t>1x Scimitar, 1x Jungbrunnenphiole, 1x Paladin Emblem</t>
  </si>
  <si>
    <t>1x Schwert der Ahnen, 1x Rüstung der Ahnen, 1x Geisterkugel, 1x Flamberge, 1x Feuerstab, 1x Heiliges Emblem, 1x Heilige Rüstung, 1x Goldene Rüstung, 1x Gustav’s Ring</t>
  </si>
  <si>
    <t>1x jede Essenz, 1x jeder Kern, 1x Magisches Halsband, 1x Cat Toy, 1x Dog Toy, 1x Sunny’s Brooch</t>
  </si>
  <si>
    <t>1x Elemental Table, 1x Stein der Erkenntnis, 11x Goldene Schuppe, 1x Goldenes Wasser, 1x Geisterseele, 1x Giftschlange, 1x Blauer Kristall, 25x Paladinemblem, 5x Alter Wein, 1x Blind-Branntwein, 1x Großer Hammer, 1x Feuerkristall, 1x Inaktiver Kristall, 1x Anti-Kater Mittel, 1x Alte Schatzkarte, 1x Torle’s Logbuch</t>
  </si>
  <si>
    <t>1x Every Key of the game (part I)</t>
  </si>
  <si>
    <t>1x Every Key of the game (part II)</t>
  </si>
  <si>
    <t>1x Transfer Stone</t>
  </si>
  <si>
    <t>257 (X001)</t>
  </si>
  <si>
    <t>1x Stein der Erkenntnis, 1x Spirit Robe</t>
  </si>
  <si>
    <t>258 (X002)</t>
  </si>
  <si>
    <t>1x Ice Staff</t>
  </si>
  <si>
    <t>259 (X003)</t>
  </si>
  <si>
    <t>Bibliothek von Newlake (429)</t>
  </si>
  <si>
    <t>1x Städte Lyramions</t>
  </si>
  <si>
    <t>260 (X004)</t>
  </si>
  <si>
    <t>1x Stahlhelm, 1x Paladin Emblem</t>
  </si>
  <si>
    <t>261 (X005)</t>
  </si>
  <si>
    <t>3x Spruchpunkte V, 1x Paladin Emblem</t>
  </si>
  <si>
    <t>262 (X006)</t>
  </si>
  <si>
    <t>Gral Temple (475)</t>
  </si>
  <si>
    <t>1x Gral Schlüssel</t>
  </si>
  <si>
    <t>263 (X007)</t>
  </si>
  <si>
    <t>1x Schwerer Stein</t>
  </si>
  <si>
    <t>264 (X008)</t>
  </si>
  <si>
    <t>4x Entgiftungsphiole, 2x Heiltrank IV, 3x Heiltrank III</t>
  </si>
  <si>
    <t>265 (X009)</t>
  </si>
  <si>
    <t>5x Geisterinferno</t>
  </si>
  <si>
    <t>266 (X010)</t>
  </si>
  <si>
    <t>2x Entgiftungsphiole, 5x Heiltrank III, 2x Spruchpunkte III</t>
  </si>
  <si>
    <t>267 (X011)</t>
  </si>
  <si>
    <t>1x Smaragdkette, 1000 Gold</t>
  </si>
  <si>
    <t>268 (X012)</t>
  </si>
  <si>
    <t>Wasp Nest (378)</t>
  </si>
  <si>
    <t>1x Alkaline Plant</t>
  </si>
  <si>
    <t>269 (X013)</t>
  </si>
  <si>
    <t>1x Waldbogen, 10x Zielpfeil</t>
  </si>
  <si>
    <t>270 (X014)</t>
  </si>
  <si>
    <t>Antique Vault (380)</t>
  </si>
  <si>
    <t>1x Grüner Teleporterstein</t>
  </si>
  <si>
    <t>271 (X015)</t>
  </si>
  <si>
    <t>Forest Moon (321)</t>
  </si>
  <si>
    <t>1x Saphir-Distel</t>
  </si>
  <si>
    <t>272 (X016)</t>
  </si>
  <si>
    <t>1x Gralharnisch, 3x Fluch beseitigen, 8x Geisterwaffe, 5x Magisches Schild, 4x Hast</t>
  </si>
  <si>
    <t>273 (X017)</t>
  </si>
  <si>
    <t>Krondir Cave (382)</t>
  </si>
  <si>
    <t>1x Strange Fruits</t>
  </si>
  <si>
    <t>274 (X018)</t>
  </si>
  <si>
    <t>Gnome Mine (409)</t>
  </si>
  <si>
    <t>1x Pickaxe</t>
  </si>
  <si>
    <t>275 (X019)</t>
  </si>
  <si>
    <t>500 Gold</t>
  </si>
  <si>
    <t>276 (X020)</t>
  </si>
  <si>
    <t>277 (X021)</t>
  </si>
  <si>
    <t>1x Lightning Boots</t>
  </si>
  <si>
    <t>278 (X022)</t>
  </si>
  <si>
    <t>1x Dwarf Shield</t>
  </si>
  <si>
    <t>279 (X023)</t>
  </si>
  <si>
    <t>1x Drelb’s Certificate</t>
  </si>
  <si>
    <t>280 (X024)</t>
  </si>
  <si>
    <t>Mystic Tower (478)</t>
  </si>
  <si>
    <t>1x Mystic’s Key, 1x Mystic’s Book, 3x Monsterwissen, 5x Zeige Monster LP, 5x Zeige Elemente, 2x Mystiche Karte III</t>
  </si>
  <si>
    <t>281 (X025)</t>
  </si>
  <si>
    <t>Gauners Keller (265)</t>
  </si>
  <si>
    <t>1x Diebeshandschuh, 500 Gold</t>
  </si>
  <si>
    <t>282 (X026)</t>
  </si>
  <si>
    <t>1x Schleichumhang</t>
  </si>
  <si>
    <t>283 (X027)</t>
  </si>
  <si>
    <t>1x Alter Hut, 1x Alter Handschuh, 1x Rostiger Zweihänder, 1x Rostiger Trident, 1x Kaputter Kompass, 1x Aman’s Notiz</t>
  </si>
  <si>
    <t>284 (X028)</t>
  </si>
  <si>
    <t>Zum hinkenden Gauner (264)</t>
  </si>
  <si>
    <t xml:space="preserve">1x Schurkenring, 1x Meuchlerring </t>
  </si>
  <si>
    <t>285 (X029)</t>
  </si>
  <si>
    <t>Waldmond (300)</t>
  </si>
  <si>
    <t>1x Ehering</t>
  </si>
  <si>
    <t>286 (X030)</t>
  </si>
  <si>
    <t>1x Zettel</t>
  </si>
  <si>
    <t>287 (X031)</t>
  </si>
  <si>
    <t>Gefängnis – S’Angrila (455)</t>
  </si>
  <si>
    <t>1x Ring des S’Riel</t>
  </si>
  <si>
    <t>288 (X032)</t>
  </si>
  <si>
    <t>1x Kletterhaken, 15x Giftphiole, 1x Sichelklinge, 1x Rebellenrüstung, 1x Wüstenstiefel, 1x Wüstenamulett</t>
  </si>
  <si>
    <t>289 (X033)</t>
  </si>
  <si>
    <t>Dunkles Haus (480)</t>
  </si>
  <si>
    <t>1x Geheimer Schlüssel</t>
  </si>
  <si>
    <t>290 (X034)</t>
  </si>
  <si>
    <t>1x Geheimer Zettel</t>
  </si>
  <si>
    <t>291 (X035)</t>
  </si>
  <si>
    <t>leer</t>
  </si>
  <si>
    <t>292 (X036)</t>
  </si>
  <si>
    <t>293 (X037)</t>
  </si>
  <si>
    <t>5 Nahrung</t>
  </si>
  <si>
    <t>294 (X038)</t>
  </si>
  <si>
    <t>295 (X039)</t>
  </si>
  <si>
    <t>Altes Gebäude (484)</t>
  </si>
  <si>
    <t>1x Gelbe Platte</t>
  </si>
  <si>
    <t>296 (X040)</t>
  </si>
  <si>
    <t>1x Goldenes M</t>
  </si>
  <si>
    <t>297 (X041)</t>
  </si>
  <si>
    <t>1x Goldenes O</t>
  </si>
  <si>
    <t>298 (X042)</t>
  </si>
  <si>
    <t>1x Goldenes R</t>
  </si>
  <si>
    <t>299 (X043)</t>
  </si>
  <si>
    <t>1x Goldenes A</t>
  </si>
  <si>
    <t>300 (X044)</t>
  </si>
  <si>
    <t>1x Goldenes G</t>
  </si>
  <si>
    <t>301 (X045)</t>
  </si>
  <si>
    <t>1x Blaue Platte</t>
  </si>
  <si>
    <t>302 (X046)</t>
  </si>
  <si>
    <t>1x Grüne Platte</t>
  </si>
  <si>
    <t>303 (X047)</t>
  </si>
  <si>
    <t>1x Rote Platte</t>
  </si>
  <si>
    <t>304 (X048)</t>
  </si>
  <si>
    <t>Luftschiff (486)</t>
  </si>
  <si>
    <t>2x Antikes Fragment</t>
  </si>
  <si>
    <t>305 (X049)</t>
  </si>
  <si>
    <t>10 Rationen</t>
  </si>
  <si>
    <t>306 (X050)</t>
  </si>
  <si>
    <t>1x Haftbombe</t>
  </si>
  <si>
    <t>DoorIndex</t>
  </si>
  <si>
    <t>Door to the cavetown office</t>
  </si>
  <si>
    <t>First gate keeper door</t>
  </si>
  <si>
    <t>Second gate keeper door</t>
  </si>
  <si>
    <t>Manyeyes' upper boss door</t>
  </si>
  <si>
    <t>Paladin guild locked door</t>
  </si>
  <si>
    <t>Flame key door</t>
  </si>
  <si>
    <t>Fire key door</t>
  </si>
  <si>
    <t>Lava key door</t>
  </si>
  <si>
    <t>Magma key door</t>
  </si>
  <si>
    <t>Eyrie door</t>
  </si>
  <si>
    <t>Left door in Gral temple</t>
  </si>
  <si>
    <t>Right door in Gral temple</t>
  </si>
  <si>
    <t>Lower door in Gral temple</t>
  </si>
  <si>
    <t>Swamp key door in Gral temple</t>
  </si>
  <si>
    <t>Mystic tower door</t>
  </si>
  <si>
    <t>Second thief quest, start door</t>
  </si>
  <si>
    <t>Second thief quest, lower left door</t>
  </si>
  <si>
    <t>Second thief quest, lower right door</t>
  </si>
  <si>
    <t>First prison door</t>
  </si>
  <si>
    <t>Second prison door</t>
  </si>
  <si>
    <t>Third prison door</t>
  </si>
  <si>
    <t>Fourth prison door</t>
  </si>
  <si>
    <t>Fifth prison door</t>
  </si>
  <si>
    <t>Sixth prison door</t>
  </si>
  <si>
    <t>Prison door to party member</t>
  </si>
  <si>
    <t>Lower right building door in ancient city</t>
  </si>
  <si>
    <t>Lower left building door in ancient city</t>
  </si>
  <si>
    <t>Upper left building door in ancient city</t>
  </si>
  <si>
    <t>Temple bottom door in ancient city</t>
  </si>
  <si>
    <t>Temple left door in ancient city</t>
  </si>
  <si>
    <t>Temple right door in ancient city</t>
  </si>
  <si>
    <t>Temple top door in ancient city</t>
  </si>
  <si>
    <t>Place Index</t>
  </si>
  <si>
    <t>Additional Info</t>
  </si>
  <si>
    <t>Merchant</t>
  </si>
  <si>
    <t>Merchant Index 19</t>
  </si>
  <si>
    <t>Merchant Index 20</t>
  </si>
  <si>
    <t>Blacksmith</t>
  </si>
  <si>
    <t>A bit more expensive (35) than Burnville blacksmith (25)</t>
  </si>
  <si>
    <t>Swim Trainer</t>
  </si>
  <si>
    <t>A bit more expensive (20) than Burnville swim trainer (10)</t>
  </si>
  <si>
    <t>Raft Dealer</t>
  </si>
  <si>
    <t>350 Gold per raft, spawns east of Cavetown at the beach</t>
  </si>
  <si>
    <t>Inn</t>
  </si>
  <si>
    <t>25 Gold per night and person, cavetown inn</t>
  </si>
  <si>
    <t>Merchant Index 21, sells drinks and potions in cavetown inn</t>
  </si>
  <si>
    <t>Food Dealer</t>
  </si>
  <si>
    <t>Sells food in cavetown inn</t>
  </si>
  <si>
    <t>Dor Grestin (Merchant 22)</t>
  </si>
  <si>
    <t>Library</t>
  </si>
  <si>
    <t>Mystic Tower</t>
  </si>
  <si>
    <t>Merchant Index</t>
  </si>
  <si>
    <t>Info</t>
  </si>
  <si>
    <t>Goods</t>
  </si>
  <si>
    <t>Ferdinand (Spannenberg)</t>
  </si>
  <si>
    <t>1x Silver Cutlery (208), 1x Cat Toy (404), 1x Dog Toy (405), 1x Magic Collar (437), 3x Bitter Herb (467), 255x Pet Food (406) [20 slots]</t>
  </si>
  <si>
    <t>Cavetown Tradesman</t>
  </si>
  <si>
    <t>unlimited Torches (130), 1x Scimitar, 1x Zweihander, 1x Morning Star, 1x Trident, 1x Whip, 1x Murder Blade, 1x Compass, 1x Magic Picture, 1x Wind Pearl, 5x Shovel, 25x Rope, 2x Horn Helm, 1x Steel Helm, 1x Banded Armour, 1x Round Shield, 99x Magic Arrow, 1x Wishing Coins, 3x Lantern, 1x Holy Horn, 50x Magic Bolts, 5x Heal Paralyze Potion</t>
  </si>
  <si>
    <t>Cavetown Tavern</t>
  </si>
  <si>
    <t>Drinks</t>
  </si>
  <si>
    <t>Mystic Tower Library</t>
  </si>
  <si>
    <t>Scrolls</t>
  </si>
  <si>
    <t>Mystic Tower Wares</t>
  </si>
  <si>
    <t>Potions, Mystic Clothes, etc</t>
  </si>
  <si>
    <t>Change merchants</t>
  </si>
  <si>
    <t>Nalven's Magical School</t>
  </si>
  <si>
    <t>Replaced Lame scrolls by Magic Projectile scrolls and Disease scrolls by Lame scrolls</t>
  </si>
  <si>
    <t>Spell Scroll Library (Illien)</t>
  </si>
  <si>
    <t>Replaced Mark/Return scrolls by Ghostweapon and Magic Attack scrolls</t>
  </si>
  <si>
    <t>Randor’s Lädchen (Dor Grestin)</t>
  </si>
  <si>
    <t>Added pet food</t>
  </si>
  <si>
    <t>Text</t>
  </si>
  <si>
    <t>Change</t>
  </si>
  <si>
    <t>Map 259 Text 9</t>
  </si>
  <si>
    <t>As there are no more scrolls the text is adjusted.</t>
  </si>
  <si>
    <t>Map 263</t>
  </si>
  <si>
    <t>Added new texts for new signs</t>
  </si>
  <si>
    <t>Char</t>
  </si>
  <si>
    <t>Exp Factors</t>
  </si>
  <si>
    <t>Leonaria</t>
  </si>
  <si>
    <t>SLP/Lvl 10 -&gt; 20</t>
  </si>
  <si>
    <t>Changed start spells</t>
  </si>
  <si>
    <t>Exp factors are given in AM2_*. Just search for the sequence 00 4B 00 96 00 B4 00 64 00 7D 00 5A 00 5A 00 5A 00 5F 7F FF.</t>
  </si>
  <si>
    <t>Targor</t>
  </si>
  <si>
    <t>Start SLP 20 -&gt; 25</t>
  </si>
  <si>
    <t>Class</t>
  </si>
  <si>
    <t>Old</t>
  </si>
  <si>
    <t>New</t>
  </si>
  <si>
    <t>Lvl10 (old)</t>
  </si>
  <si>
    <t>Lvl10 (new)</t>
  </si>
  <si>
    <t>Lvl25 (old)</t>
  </si>
  <si>
    <t>Lvl25 (new)</t>
  </si>
  <si>
    <t>Lvl50 (old)</t>
  </si>
  <si>
    <t>Lvl50 (new)</t>
  </si>
  <si>
    <t>Adventurer</t>
  </si>
  <si>
    <t>Replace some start items</t>
  </si>
  <si>
    <t>Warrior</t>
  </si>
  <si>
    <t>Paladin</t>
  </si>
  <si>
    <t>Valdyn</t>
  </si>
  <si>
    <t>Added Monster Knowledge spell scroll</t>
  </si>
  <si>
    <t>Thief</t>
  </si>
  <si>
    <t>Start SLP 16 -&gt; 10</t>
  </si>
  <si>
    <t>Ranger</t>
  </si>
  <si>
    <t>Remove Monster Knowledge as start spell</t>
  </si>
  <si>
    <t>Healer</t>
  </si>
  <si>
    <t>Sabine</t>
  </si>
  <si>
    <t>Start SLP 4 -&gt; 15</t>
  </si>
  <si>
    <t>SLP/Lvl 10 -&gt; 18</t>
  </si>
  <si>
    <t>Mystic</t>
  </si>
  <si>
    <t>Magician</t>
  </si>
  <si>
    <t>Gryban</t>
  </si>
  <si>
    <t>SLP/Lvl 3 -&gt; 5</t>
  </si>
  <si>
    <t>Animal</t>
  </si>
  <si>
    <t>Start SLP 19 -&gt; 20</t>
  </si>
  <si>
    <t>Egil</t>
  </si>
  <si>
    <t>TP/Lvl 8 -&gt; 6</t>
  </si>
  <si>
    <t>Selena</t>
  </si>
  <si>
    <t>Max L-P to 65</t>
  </si>
  <si>
    <t>StartExp (old)</t>
  </si>
  <si>
    <t>StartExp (new)</t>
  </si>
  <si>
    <t>Startlvl (old)</t>
  </si>
  <si>
    <t>Start (new)</t>
  </si>
  <si>
    <t>ClassFactor (old)</t>
  </si>
  <si>
    <t>ClassFactor (new)</t>
  </si>
  <si>
    <t>Max F-T to 90</t>
  </si>
  <si>
    <t>Thalion</t>
  </si>
  <si>
    <t>Max D-T to 90</t>
  </si>
  <si>
    <t>Tar</t>
  </si>
  <si>
    <t>Hero</t>
  </si>
  <si>
    <t>TP/Lvl to 7</t>
  </si>
  <si>
    <t>Nelvin</t>
  </si>
  <si>
    <t>TODO</t>
  </si>
  <si>
    <t>Id</t>
  </si>
  <si>
    <t>File</t>
  </si>
  <si>
    <t>New / Copy</t>
  </si>
  <si>
    <t>Smaller version of the lizard</t>
  </si>
  <si>
    <t>3Object3D.amb</t>
  </si>
  <si>
    <t>Copy</t>
  </si>
  <si>
    <t>Tree root</t>
  </si>
  <si>
    <t>Green liquid</t>
  </si>
  <si>
    <t>Pile of trash</t>
  </si>
  <si>
    <t>Undead (that works with sky, pal4)</t>
  </si>
  <si>
    <t>Manyeyes' castle 2</t>
  </si>
  <si>
    <t>2Object3D.amb</t>
  </si>
  <si>
    <t>Green lizard</t>
  </si>
  <si>
    <t>Piece of sand</t>
  </si>
  <si>
    <t>Ice flame</t>
  </si>
  <si>
    <t>Underwater stones</t>
  </si>
  <si>
    <t>Ice pillar</t>
  </si>
  <si>
    <t>Wasp</t>
  </si>
  <si>
    <t>Wasp Cave/Swamp Temple</t>
  </si>
  <si>
    <t>2Object3D.amb/3Object3D.amb</t>
  </si>
  <si>
    <t>From Monster Gfx</t>
  </si>
  <si>
    <t>Cocoon</t>
  </si>
  <si>
    <t>Wasp Cave</t>
  </si>
  <si>
    <t>Broken cocoon</t>
  </si>
  <si>
    <t>Poison puddle</t>
  </si>
  <si>
    <t>Extended</t>
  </si>
  <si>
    <t>Elevator pillar</t>
  </si>
  <si>
    <t>Merged existing</t>
  </si>
  <si>
    <t>Moving wall (in elevator)</t>
  </si>
  <si>
    <t>Wasp Cave Elevator</t>
  </si>
  <si>
    <t>Green dwarf idle</t>
  </si>
  <si>
    <t>Wasp Cave / F-Ship ForestMoon</t>
  </si>
  <si>
    <t>Cut from anim</t>
  </si>
  <si>
    <t>Activated guard</t>
  </si>
  <si>
    <t>Book altair</t>
  </si>
  <si>
    <t>Pulsating magic</t>
  </si>
  <si>
    <t>From Spell Gfx</t>
  </si>
  <si>
    <t>Antique ceiling lamp with only yellow</t>
  </si>
  <si>
    <t>Minor edit</t>
  </si>
  <si>
    <t>Strange plant</t>
  </si>
  <si>
    <t>Krondir Cave</t>
  </si>
  <si>
    <t>Palette adjustment of 230</t>
  </si>
  <si>
    <t>Single eye (on map)</t>
  </si>
  <si>
    <t>Monster on map</t>
  </si>
  <si>
    <t>Female Feline</t>
  </si>
  <si>
    <t>Light plant</t>
  </si>
  <si>
    <t>Plant with white light blossoms</t>
  </si>
  <si>
    <t>White light</t>
  </si>
  <si>
    <t>Light from the plant on the floor</t>
  </si>
  <si>
    <t>Fruit plant</t>
  </si>
  <si>
    <t>Plant with fruits</t>
  </si>
  <si>
    <t>Shiny liquid</t>
  </si>
  <si>
    <t>Liquid to empower triis</t>
  </si>
  <si>
    <t>Big Krondir</t>
  </si>
  <si>
    <t>Skeleton Lord</t>
  </si>
  <si>
    <t>Whirling stones</t>
  </si>
  <si>
    <t>S’Angrila</t>
  </si>
  <si>
    <t>Prison guard</t>
  </si>
  <si>
    <t>Prison</t>
  </si>
  <si>
    <t>Merge bandit with Morag mage</t>
  </si>
  <si>
    <t>Prisoner</t>
  </si>
  <si>
    <t>Blood</t>
  </si>
  <si>
    <t>Inactive robot</t>
  </si>
  <si>
    <t>Ancient building</t>
  </si>
  <si>
    <t>Dead robot</t>
  </si>
  <si>
    <t>Small robot</t>
  </si>
  <si>
    <t>Pulsating light</t>
  </si>
  <si>
    <t>346 clean without the metal part and red</t>
  </si>
  <si>
    <t>Small robot inactive</t>
  </si>
  <si>
    <t>Small stone (more orange)</t>
  </si>
  <si>
    <t>Like 012 but shifted towards orange color</t>
  </si>
  <si>
    <t>Manyeyes’ castle door</t>
  </si>
  <si>
    <t>Manyeyes’s castle</t>
  </si>
  <si>
    <t>2Wall3D.amb</t>
  </si>
  <si>
    <t>Ice wall</t>
  </si>
  <si>
    <t>3Wall3D.amb</t>
  </si>
  <si>
    <t>Ice door</t>
  </si>
  <si>
    <t>Open swamp door</t>
  </si>
  <si>
    <t>Swamp wall with light</t>
  </si>
  <si>
    <t>Pillar wall (3 pillars)</t>
  </si>
  <si>
    <t>Wasp nest</t>
  </si>
  <si>
    <t>New cave wall</t>
  </si>
  <si>
    <t>Wall with crystal</t>
  </si>
  <si>
    <t>New cave exit</t>
  </si>
  <si>
    <t>Wall with hole</t>
  </si>
  <si>
    <t>Stone arc without portal</t>
  </si>
  <si>
    <t>Morag prison wall with crate</t>
  </si>
  <si>
    <t>Morag prison wall with crack</t>
  </si>
  <si>
    <t>Broken prison wall</t>
  </si>
  <si>
    <t>Ancient city door with stairs behind it</t>
  </si>
  <si>
    <t>Ancient city door transparent doorway</t>
  </si>
  <si>
    <t>Ancient city door closed</t>
  </si>
  <si>
    <t>Ancient city door with stairs up behind it</t>
  </si>
  <si>
    <t>Ancient city pillars (4 next to each other)</t>
  </si>
  <si>
    <t>Ancient city door dark</t>
  </si>
  <si>
    <t>Pillar left</t>
  </si>
  <si>
    <t>3Overlay3D.amb</t>
  </si>
  <si>
    <t>Pillar right</t>
  </si>
  <si>
    <t>Wall with eye in it</t>
  </si>
  <si>
    <t>Wall crack</t>
  </si>
  <si>
    <t>Crystal wine cellar</t>
  </si>
  <si>
    <t>2Overlay3D.amb</t>
  </si>
  <si>
    <t>Paladin guild left door pillar overlay</t>
  </si>
  <si>
    <t>Paladin guild 2</t>
  </si>
  <si>
    <t>Paladin guild right door pillar overlay</t>
  </si>
  <si>
    <t>Isdir head</t>
  </si>
  <si>
    <t>Wasp door</t>
  </si>
  <si>
    <t>Wasps' nest</t>
  </si>
  <si>
    <t>Inactive wall overlay left</t>
  </si>
  <si>
    <t>Inactive wall overlay right</t>
  </si>
  <si>
    <t>Swamp dungeon lower wall border (moss)</t>
  </si>
  <si>
    <t>Single red triangle</t>
  </si>
  <si>
    <t>Hands</t>
  </si>
  <si>
    <t>Battery in wall storage</t>
  </si>
  <si>
    <t>Battery in illuminated wall storage</t>
  </si>
  <si>
    <t>Empty illuminated wall storage</t>
  </si>
  <si>
    <t>Green plate with all 4 colored triangles</t>
  </si>
  <si>
    <t>New cave plant overlay left</t>
  </si>
  <si>
    <t>New cave plant overlay right</t>
  </si>
  <si>
    <t>Morag prison stairs down</t>
  </si>
  <si>
    <t>Morag prison door crate</t>
  </si>
  <si>
    <t>Scribble for prison wall</t>
  </si>
  <si>
    <t>Morag prison crate bottom</t>
  </si>
  <si>
    <t>Morag prison crate center</t>
  </si>
  <si>
    <t>Prison wall top border</t>
  </si>
  <si>
    <t>Morag prison open door crate</t>
  </si>
  <si>
    <t>Loose stones</t>
  </si>
  <si>
    <t>Pressed stones</t>
  </si>
  <si>
    <t>Desert city switch off</t>
  </si>
  <si>
    <t>Desert city switch on</t>
  </si>
  <si>
    <t>Desert city screen off</t>
  </si>
  <si>
    <t>Desert city screen on</t>
  </si>
  <si>
    <t>Screen upper right building on</t>
  </si>
  <si>
    <t>Wall storage closed (32x25)</t>
  </si>
  <si>
    <t>Wall storage open (32x25)</t>
  </si>
  <si>
    <t>Wall storage with card (32x25)</t>
  </si>
  <si>
    <t>Screen lower right building on</t>
  </si>
  <si>
    <t>Screen with text</t>
  </si>
  <si>
    <t>Screen upper left building on</t>
  </si>
  <si>
    <t>Screen lower left building on</t>
  </si>
  <si>
    <t>Ship’s wheel</t>
  </si>
  <si>
    <t>Copy of object gfx 145</t>
  </si>
  <si>
    <t>Floors</t>
  </si>
  <si>
    <t>Grail temple floor (swampy)</t>
  </si>
  <si>
    <t>Black floor</t>
  </si>
  <si>
    <t>Bright stone bricks (prison floor and ceiling)</t>
  </si>
  <si>
    <t>Note: In MapEvent the ID must be 1 lower (0-based) instead of the 1-based file index.</t>
  </si>
  <si>
    <t>Map ID</t>
  </si>
  <si>
    <t>Map Name</t>
  </si>
  <si>
    <t>Palette</t>
  </si>
  <si>
    <t>Feline in front of portal. Arrival in Albion.</t>
  </si>
  <si>
    <t>Sheera merges with portal. Leaving Albion.</t>
  </si>
  <si>
    <t>3 Moranian rebels. Entering S’Angrila hideout.</t>
  </si>
  <si>
    <t>Rebel’s Hideout</t>
  </si>
  <si>
    <t>Ancient city. Approaching the re-emerged ruins.</t>
  </si>
  <si>
    <t>513+x?</t>
  </si>
  <si>
    <t>Morag</t>
  </si>
  <si>
    <t>Airship and rebells with parachutes</t>
  </si>
  <si>
    <t>?</t>
  </si>
  <si>
    <t>Morag Hangar</t>
  </si>
  <si>
    <t>Tileset Graphics (Icon Gfx)</t>
  </si>
  <si>
    <t>Tileset Data (Icon Data)</t>
  </si>
  <si>
    <t>Tileset</t>
  </si>
  <si>
    <t>Cobweb</t>
  </si>
  <si>
    <t>SLP Changes</t>
  </si>
  <si>
    <t>Damage Changes</t>
  </si>
  <si>
    <t>New Spells</t>
  </si>
  <si>
    <t>- Charge Item: 20 -&gt; 60</t>
  </si>
  <si>
    <t>Name | Old | New</t>
  </si>
  <si>
    <t>School</t>
  </si>
  <si>
    <t>SP | SLP</t>
  </si>
  <si>
    <t>- Repair Item: 15 -&gt; 40</t>
  </si>
  <si>
    <t>Mudsling | 4-8 | 5-10</t>
  </si>
  <si>
    <t>Ghost Inferno / Geisterstunde</t>
  </si>
  <si>
    <t>Shoots GhostWeapon to all enemies</t>
  </si>
  <si>
    <t>35 | 55</t>
  </si>
  <si>
    <t>- Duplicate Item: 25 -&gt; 65</t>
  </si>
  <si>
    <t>Rockfall | 10-25 | 15-25</t>
  </si>
  <si>
    <t>Mystic Imitation / Mystische Imitation</t>
  </si>
  <si>
    <t>Mystiker</t>
  </si>
  <si>
    <t>Transforms into an enemy</t>
  </si>
  <si>
    <t>100 | 100</t>
  </si>
  <si>
    <t>- LP Stealer: 5 -&gt; 25</t>
  </si>
  <si>
    <t>Earthslide | 8-16 | 10-22</t>
  </si>
  <si>
    <t>- SP Stealer: 5 -&gt; 25</t>
  </si>
  <si>
    <t>Earthquake | 8-22 | 8-20</t>
  </si>
  <si>
    <t>- Light: 2 -&gt; 5</t>
  </si>
  <si>
    <t>Winddevil | 8-16 | 20-35</t>
  </si>
  <si>
    <t>- Magical Torch: 5 -&gt; 10</t>
  </si>
  <si>
    <t>Windhowler | 16-48 | 30-50</t>
  </si>
  <si>
    <t>- Magical Lantern: 10 -&gt; 20</t>
  </si>
  <si>
    <t>Thunderbolt | 20-32 | 25-45</t>
  </si>
  <si>
    <t>- Magical Sun: 15 -&gt; 35</t>
  </si>
  <si>
    <t>Whirlwind | 20-35 | 20-40</t>
  </si>
  <si>
    <t>- Ghost Weapon: 5 -&gt; 25</t>
  </si>
  <si>
    <t>Firebeam | 20-30 | 35-55</t>
  </si>
  <si>
    <t>- Create Food: 10 -&gt; 15</t>
  </si>
  <si>
    <t>Fireball | 40-85 | 70-105</t>
  </si>
  <si>
    <t>- Blink: 5 -&gt; 15</t>
  </si>
  <si>
    <t>Firestorm | 35-65 | 65-95</t>
  </si>
  <si>
    <t>- Jump: 10 -&gt; 30</t>
  </si>
  <si>
    <t>Firepillar | 40-70 | 55-85</t>
  </si>
  <si>
    <t>- Word Of Marking: 20 -&gt; 50</t>
  </si>
  <si>
    <t>Waterfall | 32-60 | 60-75</t>
  </si>
  <si>
    <t>- Word Of Returning: 20 -&gt; 40</t>
  </si>
  <si>
    <t>Iceball | 90-180 | 110-150</t>
  </si>
  <si>
    <t>- Magic Shield: 10 -&gt; 20</t>
  </si>
  <si>
    <t>Icestorm | 64-128 | 100-135</t>
  </si>
  <si>
    <t>- Magic Wall: 15 -&gt; 25</t>
  </si>
  <si>
    <t>Iceshower | 128-256 | 90-120</t>
  </si>
  <si>
    <t>- Magic Barrier: 20 -&gt; 30</t>
  </si>
  <si>
    <t>- Magic Weapon: 10 -&gt; 20</t>
  </si>
  <si>
    <t>- Magic Assault: 15 -&gt; 25</t>
  </si>
  <si>
    <t>- Magic Attack: 20 -&gt; 30</t>
  </si>
  <si>
    <t>- Levitation: 10 -&gt; 65</t>
  </si>
  <si>
    <t>- Anti-Magic Wall: 5 -&gt; 25</t>
  </si>
  <si>
    <t>- Anti-Magic Sphere: 15 -&gt; 40</t>
  </si>
  <si>
    <t>- Alch. Globe: 25 -&gt; 100</t>
  </si>
  <si>
    <t>- Hurry: 5 -&gt; 25</t>
  </si>
  <si>
    <t>- Mass Hurry: 10 -&gt; 40</t>
  </si>
  <si>
    <t>- Monster Knowledge: 3 -&gt; 15</t>
  </si>
  <si>
    <t>- Identification: 15 -&gt; 35</t>
  </si>
  <si>
    <t>- Knowledge: 10 -&gt; 5</t>
  </si>
  <si>
    <t>- Clairvoyance: 20 -&gt; 15</t>
  </si>
  <si>
    <t>- Magical Compass: 2 -&gt; 5</t>
  </si>
  <si>
    <t>- Find Traps: 10 -&gt; 15</t>
  </si>
  <si>
    <t>- Find Monsters: 10 -&gt; 15</t>
  </si>
  <si>
    <t>- Find Persons: 10 -&gt; 15</t>
  </si>
  <si>
    <t>- Find Secret Doors: 10 -&gt; 15</t>
  </si>
  <si>
    <t>- Mystical Mapping: 25 -&gt; 60</t>
  </si>
  <si>
    <t>- Mystical Map I: 10 -&gt; 65</t>
  </si>
  <si>
    <t>- Mystical Map II: 15 -&gt; 70</t>
  </si>
  <si>
    <t>- Mystical Map III: 20 -&gt; 75</t>
  </si>
  <si>
    <t>- Myst. Globe: 25 -&gt; 100</t>
  </si>
  <si>
    <t>- Show Monster LP: 5 -&gt; 15</t>
  </si>
  <si>
    <t>- Healing Hand: 1 -&gt; 5</t>
  </si>
  <si>
    <t>- Remove Fear: 2 -&gt; 10</t>
  </si>
  <si>
    <t>- Remove Panic: 5 -&gt; 20</t>
  </si>
  <si>
    <t>- Remove Shadows: 3 -&gt; 10</t>
  </si>
  <si>
    <t>- Remove Blindness: 8 -&gt; 20</t>
  </si>
  <si>
    <t>- Remove Pain: 5 -&gt; 20</t>
  </si>
  <si>
    <t>- Remove Disease: 10 -&gt; 30</t>
  </si>
  <si>
    <t>- Small Healing: 5 -&gt; 15</t>
  </si>
  <si>
    <t>- Remove Poison: 10 -&gt; 20</t>
  </si>
  <si>
    <t>- Neutralize Poison: 12 -&gt; 30</t>
  </si>
  <si>
    <t>- Medium Healing: 15 -&gt; 35</t>
  </si>
  <si>
    <t>- Destroy Undead: 15 -&gt; 25</t>
  </si>
  <si>
    <t>- Holy Word: 20 -&gt; 35</t>
  </si>
  <si>
    <t>- Wake The Dead: 15 -&gt; 60</t>
  </si>
  <si>
    <t>- Change Ashes: 20 -&gt; 30</t>
  </si>
  <si>
    <t>- Change Dust: 25 -&gt; 30</t>
  </si>
  <si>
    <t>- Great Healing: 30 -&gt; 45</t>
  </si>
  <si>
    <t>- Mass Healing: 20 -&gt; 45</t>
  </si>
  <si>
    <t>- Resurrection: 30 -&gt; 80</t>
  </si>
  <si>
    <t>- Remove Rigidness: 5 -&gt; 25</t>
  </si>
  <si>
    <t>- Remove Lamedness: 10 -&gt; 35</t>
  </si>
  <si>
    <t>- Heal Aging: 12 -&gt; 15</t>
  </si>
  <si>
    <t>- Stop Aging: 15 -&gt; 20</t>
  </si>
  <si>
    <t>- Stone To Flesh: 20 -&gt; 40</t>
  </si>
  <si>
    <t>- Wake Up: 5 -&gt; 10</t>
  </si>
  <si>
    <t>- Remove Irritation: 5 -&gt; 15</t>
  </si>
  <si>
    <t>- Remove Drugs: 10 -&gt; 15</t>
  </si>
  <si>
    <t>- Remove Madness: 15 -&gt; 30</t>
  </si>
  <si>
    <t>- Restore Stamina: 15 -&gt; 5</t>
  </si>
  <si>
    <t>Turtle at 550,402 (map 139)</t>
  </si>
  <si>
    <t>Snake at 773,313 (map 112)</t>
  </si>
  <si>
    <t>Mermaid at 126,530 (map 163)</t>
  </si>
  <si>
    <t>Whale at 173, 773 (map 244)</t>
  </si>
  <si>
    <t>Piranha at 311, 446 (map 135)</t>
  </si>
  <si>
    <t>Swordfish at 621, 205 (map 77)</t>
  </si>
  <si>
    <t>Each level increases the spell damage by 1% so at max level 50 you have +50% damage.</t>
  </si>
  <si>
    <t>INT changes the damage by (INT-50)/5 in percent.</t>
  </si>
  <si>
    <t>INT</t>
  </si>
  <si>
    <t>Damage</t>
  </si>
  <si>
    <t>Elements grant a damage bonus or malus as well now.</t>
  </si>
  <si>
    <t>Attacker \ Defender</t>
  </si>
  <si>
    <t>Mental</t>
  </si>
  <si>
    <t>Spirit</t>
  </si>
  <si>
    <t>Physical</t>
  </si>
  <si>
    <t>Undead</t>
  </si>
  <si>
    <t>Earth</t>
  </si>
  <si>
    <t>Wind</t>
  </si>
  <si>
    <t>Fire</t>
  </si>
  <si>
    <t>Water</t>
  </si>
  <si>
    <t>Values are total damage percentage. A value of 0 means immunity against a spell of that element.</t>
  </si>
  <si>
    <t>All above values are added together as a total percentage bonus or malus with the exception of element immunity where the spell is aborted with a message instead.</t>
  </si>
  <si>
    <t>If a target has multiple elements, any immunity will immediately abort the spell. If no immunity exists, the elemental factor is always 100% regardless of the elements.</t>
  </si>
  <si>
    <t>The following damaging spells exist</t>
  </si>
  <si>
    <t>Element</t>
  </si>
  <si>
    <t>Notes</t>
  </si>
  <si>
    <t>Dispell Undead</t>
  </si>
  <si>
    <t>None</t>
  </si>
  <si>
    <t>This is only controlled by the undead monster flag</t>
  </si>
  <si>
    <t>Destroy Undead</t>
  </si>
  <si>
    <t>Holy Word</t>
  </si>
  <si>
    <t>Ghost Weapon</t>
  </si>
  <si>
    <t>Does 150% damage against physical and undead enemies, otherwise 100%.</t>
  </si>
  <si>
    <t>LP Stealer</t>
  </si>
  <si>
    <t>This one is special. It has it's own formula.</t>
  </si>
  <si>
    <t>SP Stealer</t>
  </si>
  <si>
    <t>Magic Projectile</t>
  </si>
  <si>
    <t>Earth spells</t>
  </si>
  <si>
    <t>150% against water, 50% against wind, 75% against undead.</t>
  </si>
  <si>
    <t>Wind spells</t>
  </si>
  <si>
    <t>150% against earth, 50% against fire, 75% against undead.</t>
  </si>
  <si>
    <t>Fire spells</t>
  </si>
  <si>
    <t>150% against wind, 50% against water, 75% against spirit, 125% against undead.</t>
  </si>
  <si>
    <t>Water spells</t>
  </si>
  <si>
    <t>150% against fire, 50% against earth, 75% against undead.</t>
  </si>
  <si>
    <t>In original it steals the character level as damage but at max the remaining LP of the target.</t>
  </si>
  <si>
    <t>Now it will steal the character level plus INT/4.</t>
  </si>
  <si>
    <t>Same as LP stealer.</t>
  </si>
  <si>
    <t>Code changes (example is AM2_CPU german).</t>
  </si>
  <si>
    <t>At 0023f192 there is the function to calculate the spell damage for the main 4 elemental types.</t>
  </si>
  <si>
    <t>The spell damage values are located at 0026d390. One word for min and one word for max damage.</t>
  </si>
  <si>
    <t>At 0023f1c0 a random word is multiplied by the damage range (max value - min value) and then swapped.</t>
  </si>
  <si>
    <t>This essentially is a modulo so that the random value is inside the given range.</t>
  </si>
  <si>
    <t>And then the min damage is added to that value.</t>
  </si>
  <si>
    <t>These operations take 6 bytes which is the same amount we need for a JMP instruction. So we replace them.</t>
  </si>
  <si>
    <t>Those instructions must be preserved so we have to copy them over to the new function: c0 c1 48 40 d0 52.</t>
  </si>
  <si>
    <t>In asm this is:</t>
  </si>
  <si>
    <t>mulu.w D1w,D0</t>
  </si>
  <si>
    <t>swap D0</t>
  </si>
  <si>
    <t>add.w (A2),D0w</t>
  </si>
  <si>
    <t>We add a table with damage factors from above as byte values.</t>
  </si>
  <si>
    <t>The new function should look like this:</t>
  </si>
  <si>
    <t>Bytes</t>
  </si>
  <si>
    <t>movem.l { A1, D2, D1 },-(SP)</t>
  </si>
  <si>
    <t>48 e7 60 40</t>
  </si>
  <si>
    <t>c0 c1</t>
  </si>
  <si>
    <t>48 40</t>
  </si>
  <si>
    <t>D0w now has the total base damage.</t>
  </si>
  <si>
    <t>d0 52</t>
  </si>
  <si>
    <t>move.w D0w,-(SP)</t>
  </si>
  <si>
    <t>3f 00</t>
  </si>
  <si>
    <t>move.b DAT_0027b4de,D0b</t>
  </si>
  <si>
    <t>10 39 XX XX XX XX</t>
  </si>
  <si>
    <t>jsr FUN_00243b4e.l</t>
  </si>
  <si>
    <t>4e b9 XX XX XX XX</t>
  </si>
  <si>
    <t>movea.l D0,A1</t>
  </si>
  <si>
    <t>Get pointer to current caster</t>
  </si>
  <si>
    <t>22 40</t>
  </si>
  <si>
    <t>jsr FUN_00243b8c.l</t>
  </si>
  <si>
    <t>move.w (SP)+,D0w</t>
  </si>
  <si>
    <t>30 1f</t>
  </si>
  <si>
    <t>moveq 0,D2</t>
  </si>
  <si>
    <t>74 00</t>
  </si>
  <si>
    <t>move.w (0x32,A1),D2w</t>
  </si>
  <si>
    <t>34 29 00 32</t>
  </si>
  <si>
    <t>add.w (0x36,A1),D2w</t>
  </si>
  <si>
    <t>Move caster's total INT to D2</t>
  </si>
  <si>
    <t>d4 69 00 36</t>
  </si>
  <si>
    <t>subi.w 50,D2w</t>
  </si>
  <si>
    <t>04 42 00 32</t>
  </si>
  <si>
    <t>ext.l D2</t>
  </si>
  <si>
    <t>48 c2</t>
  </si>
  <si>
    <t>divs.w 5,D2w</t>
  </si>
  <si>
    <t>(INT-50)/5</t>
  </si>
  <si>
    <t>85 fc 00 05</t>
  </si>
  <si>
    <t>moveq 0,D1</t>
  </si>
  <si>
    <t>72 00</t>
  </si>
  <si>
    <t>move.b (0x5,A1),D1b</t>
  </si>
  <si>
    <t>Move caster level to D1</t>
  </si>
  <si>
    <t>12 29 00 05</t>
  </si>
  <si>
    <t>add.w D1w,D2w</t>
  </si>
  <si>
    <t>Add level and INT factor together</t>
  </si>
  <si>
    <t>d4 41</t>
  </si>
  <si>
    <t>lea (DAT_0026be70).l,A1</t>
  </si>
  <si>
    <t>43 f9 XX XX XX XX</t>
  </si>
  <si>
    <t>mulu.w #0x1e,D1</t>
  </si>
  <si>
    <t>c2 fc 00 1e</t>
  </si>
  <si>
    <t>add.w (DAT_0027b75c).l,D1w</t>
  </si>
  <si>
    <t>c2 7c XX XX XX XX</t>
  </si>
  <si>
    <t>subq.w #0x1,D1w</t>
  </si>
  <si>
    <t>53 41</t>
  </si>
  <si>
    <t>mulu.w #0x5,D1</t>
  </si>
  <si>
    <t>c2 fc 00 05</t>
  </si>
  <si>
    <t>adda.w D1w,A1</t>
  </si>
  <si>
    <t>Pointer to spell info</t>
  </si>
  <si>
    <t>d2 c1</t>
  </si>
  <si>
    <t>move.b (0x4,A1),D1b</t>
  </si>
  <si>
    <t>Element is now in D1b</t>
  </si>
  <si>
    <t>12 29 00 04</t>
  </si>
  <si>
    <t>beq.b END</t>
  </si>
  <si>
    <t>If no element, don't change the damage value (as it is 100%)</t>
  </si>
  <si>
    <t>67 06</t>
  </si>
  <si>
    <t>jsr CALCELEMDMG</t>
  </si>
  <si>
    <t>Input is D1=Element, Output is D2=Factor</t>
  </si>
  <si>
    <t>END:</t>
  </si>
  <si>
    <t>---</t>
  </si>
  <si>
    <t>muls.w D2,D0</t>
  </si>
  <si>
    <t>Base damage * Damage percentage</t>
  </si>
  <si>
    <t>c1 c2</t>
  </si>
  <si>
    <t>divs.w 100,D0</t>
  </si>
  <si>
    <t>Result / 100 to get the real value</t>
  </si>
  <si>
    <t>81 fc 00 64</t>
  </si>
  <si>
    <t>bgt.s EXIT</t>
  </si>
  <si>
    <t>If the resulting dmg &gt; 0, then go to exit, damage in D0w.</t>
  </si>
  <si>
    <t>6e 02</t>
  </si>
  <si>
    <t>moveq.l 1,D0</t>
  </si>
  <si>
    <t>Otherwise set the damage to 1.</t>
  </si>
  <si>
    <t>70 01</t>
  </si>
  <si>
    <t>EXIT:</t>
  </si>
  <si>
    <t>and.l #0xffff,D0</t>
  </si>
  <si>
    <t>Ensure the upper word is 0.</t>
  </si>
  <si>
    <t>movem.l (SP)+, { A1, D2, D1 }</t>
  </si>
  <si>
    <t>rts</t>
  </si>
  <si>
    <t>// CALCELEMDMG</t>
  </si>
  <si>
    <t>movem.l { D7, D1, D0 },-(SP)</t>
  </si>
  <si>
    <t>move.b D1b,D0b</t>
  </si>
  <si>
    <t>jsr.l GETELEMINDEX</t>
  </si>
  <si>
    <t>D0b now stores the element index</t>
  </si>
  <si>
    <t>lsl.w 3,D0w</t>
  </si>
  <si>
    <t>Multiply by 8 to get the row offset.</t>
  </si>
  <si>
    <t>move.w D0b,D1b</t>
  </si>
  <si>
    <t>Store our index for later</t>
  </si>
  <si>
    <t>move.b (0x5,A0),D0b</t>
  </si>
  <si>
    <t>Get pointer to target</t>
  </si>
  <si>
    <t>Release pointer</t>
  </si>
  <si>
    <t>move.b (0x13,A1),D0b</t>
  </si>
  <si>
    <t>Store target element in D0b</t>
  </si>
  <si>
    <t>add.b D1b,D0b</t>
  </si>
  <si>
    <t>Add the row offset to get the total index</t>
  </si>
  <si>
    <t>and.b 0x3f,D0b</t>
  </si>
  <si>
    <t>Ensure index is inside range for safety</t>
  </si>
  <si>
    <t>lea (DAT_Elems),A1</t>
  </si>
  <si>
    <t>Load element table into A1</t>
  </si>
  <si>
    <t>move.b (0x0,A1,D0b*0x1),D0b</t>
  </si>
  <si>
    <t>Store element bonus percentage value to D0b</t>
  </si>
  <si>
    <t>ext.w D0w</t>
  </si>
  <si>
    <t>add.w D0w,D2w</t>
  </si>
  <si>
    <t>Add element bonus to D2 (which was the bonus before)</t>
  </si>
  <si>
    <t>movem.l (SP)+, { D7, D1, D0 }</t>
  </si>
  <si>
    <t>// GETELEMINDEX (D0=Elem)</t>
  </si>
  <si>
    <t>movem.l { D7, D1 },-(SP)</t>
  </si>
  <si>
    <t>We don't need to check for the index as the 8 bits always contain at least one set bit, otherwise the function would not have been called at all.</t>
  </si>
  <si>
    <t>moveq 0, D7</t>
  </si>
  <si>
    <t>D7 now holds the 0-based index of the first set element bit (starting from bit 0). This is the row in the element table.</t>
  </si>
  <si>
    <t>NEXT:</t>
  </si>
  <si>
    <t>move.b D0b,D1b</t>
  </si>
  <si>
    <t>andi.b #0x1,D1b</t>
  </si>
  <si>
    <t>bne.b DONE</t>
  </si>
  <si>
    <t>lsr.b #0x1,D0b</t>
  </si>
  <si>
    <t>addi.b 1,D7b</t>
  </si>
  <si>
    <t>bra.b NEXT</t>
  </si>
  <si>
    <t>DONE:</t>
  </si>
  <si>
    <t>move.l D7,D0</t>
  </si>
  <si>
    <t>movem.l (SP)+, { D7, D1 }</t>
  </si>
  <si>
    <t>New Maps</t>
  </si>
  <si>
    <t>Tileset/Labdata</t>
  </si>
  <si>
    <t>Schwarzberge - 1 / Black Mountains - 1</t>
  </si>
  <si>
    <t>Schwarzberge - 2 / Black Mountains - 2</t>
  </si>
  <si>
    <t>36 (new)</t>
  </si>
  <si>
    <t>Schwarzberge - 3 / Black Mountains – 3</t>
  </si>
  <si>
    <t>Der Lavastrom / The Lavastream</t>
  </si>
  <si>
    <t>1 (adjusted)</t>
  </si>
  <si>
    <t>Add new automaps</t>
  </si>
  <si>
    <t>Add bits for initial char/event disabling</t>
  </si>
  <si>
    <t>Adjust character values</t>
  </si>
  <si>
    <t>Add new chests</t>
  </si>
  <si>
    <t>Add new merchants</t>
  </si>
  <si>
    <t>Add new party member</t>
  </si>
  <si>
    <t>Reset glob var 54</t>
  </si>
  <si>
    <t>Reduce weight of monsters/players based on their food amount (reduce 225g per food)</t>
  </si>
  <si>
    <t>Adjust cavetown automap (size increase)</t>
  </si>
  <si>
    <t>New Gryban events</t>
  </si>
  <si>
    <t>New Events</t>
  </si>
  <si>
    <t>New Conditions</t>
  </si>
  <si>
    <t>Other Changes</t>
  </si>
  <si>
    <t>Exchange Exp</t>
  </si>
  <si>
    <t>Mouth cursor</t>
  </si>
  <si>
    <t>Added stationary flag to non-monster map chars so they only use 1 position and stay there</t>
  </si>
  <si>
    <t>Transport at location</t>
  </si>
  <si>
    <t>Adjusted destruction spell damage</t>
  </si>
  <si>
    <t>Multi cursor</t>
  </si>
  <si>
    <t>Adjusted some spell elements</t>
  </si>
  <si>
    <t>Current travel type</t>
  </si>
  <si>
    <t>Adjusted spell SLP</t>
  </si>
  <si>
    <t>Added spell damage from Lvl, INT and element bonus</t>
  </si>
  <si>
    <t>Added map flag „no world music“ which suppresses world map music usage on maps with travel types</t>
  </si>
  <si>
    <t>Added map flag „no mark/return“ which disallows using the spells word of mark/return</t>
  </si>
  <si>
    <t>Food weight is no 25 instead of 250</t>
  </si>
  <si>
    <t>Added map flag „no eagle/broom“</t>
  </si>
  <si>
    <t>Level</t>
  </si>
  <si>
    <t>Exp</t>
  </si>
  <si>
    <t>Aggregate</t>
  </si>
  <si>
    <t>Factor</t>
  </si>
  <si>
    <t>Next Exp</t>
  </si>
  <si>
    <t>Total Exp</t>
  </si>
  <si>
    <t>Old Factors</t>
  </si>
  <si>
    <t>Mage</t>
  </si>
  <si>
    <t>Current Level:</t>
  </si>
  <si>
    <t>Level by Exp</t>
  </si>
  <si>
    <t>Class:</t>
  </si>
  <si>
    <t>Exp:</t>
  </si>
  <si>
    <t>Level:</t>
  </si>
  <si>
    <t>Very tough fight</t>
  </si>
  <si>
    <t>Multiple medium fights</t>
  </si>
  <si>
    <t>Isdir</t>
  </si>
  <si>
    <t>No fight but quests which include fights</t>
  </si>
  <si>
    <t>Lugthir</t>
  </si>
  <si>
    <t>Basically the fight against Sansri grants you this</t>
  </si>
  <si>
    <t>Gunbar</t>
  </si>
  <si>
    <t>Clearing the paladin guild and wine cellar</t>
  </si>
  <si>
    <t>Fargon</t>
  </si>
  <si>
    <t>Dito</t>
  </si>
  <si>
    <t>Empowered Kasimir</t>
  </si>
  <si>
    <t>Full power Kasimir</t>
  </si>
  <si>
    <t>Borgat</t>
  </si>
  <si>
    <t>Wasp empowered Kasimir</t>
  </si>
  <si>
    <t>Use</t>
  </si>
  <si>
    <t>Single eye</t>
  </si>
  <si>
    <t>Whirlwind</t>
  </si>
  <si>
    <t>Moranian fighter</t>
  </si>
  <si>
    <t>Robot</t>
  </si>
  <si>
    <t>Sword Robot Boss</t>
  </si>
  <si>
    <t>NPC</t>
  </si>
  <si>
    <t>Changed in original as well „Kiredon → Grestin“</t>
  </si>
  <si>
    <t>See https://github.com/Pyrdacor/Ambermoon/issues/43</t>
  </si>
  <si>
    <t>Dictionary, Monster names, NPC names, Goto points, Item names, Place names, new messages, etc</t>
  </si>
  <si>
    <t>New texts</t>
  </si>
  <si>
    <t>TextID</t>
  </si>
  <si>
    <t>Note</t>
  </si>
  <si>
    <t>changed (moved parts to text 4)</t>
  </si>
  <si>
    <t>contains much of 1</t>
  </si>
  <si>
    <t>all</t>
  </si>
  <si>
    <t>reworked</t>
  </si>
  <si>
    <t>added</t>
  </si>
  <si>
    <t>15 und weitere</t>
  </si>
  <si>
    <t>and the last two goto point labels!</t>
  </si>
  <si>
    <t>0, etc</t>
  </si>
  <si>
    <t xml:space="preserve"> einige</t>
  </si>
  <si>
    <t>same as 233:2</t>
  </si>
  <si>
    <t>New goto point 90</t>
  </si>
  <si>
    <t>Objects</t>
  </si>
  <si>
    <t>Placename</t>
  </si>
  <si>
    <t>Party</t>
  </si>
  <si>
    <t>Initial</t>
  </si>
  <si>
    <t>Equip</t>
  </si>
  <si>
    <t>Stat</t>
  </si>
  <si>
    <t>Min</t>
  </si>
  <si>
    <t>Max</t>
  </si>
  <si>
    <t>DMG</t>
  </si>
  <si>
    <t>DEF</t>
  </si>
  <si>
    <t>LP</t>
  </si>
  <si>
    <t>Magic Necklace</t>
  </si>
  <si>
    <t>TP</t>
  </si>
  <si>
    <t>APR</t>
  </si>
  <si>
    <t>Sum</t>
  </si>
  <si>
    <t>STR</t>
  </si>
  <si>
    <t>DEX</t>
  </si>
  <si>
    <t>LP/Lvl</t>
  </si>
  <si>
    <t>SPD</t>
  </si>
  <si>
    <t>TP/Lvl</t>
  </si>
  <si>
    <t>STA</t>
  </si>
  <si>
    <t>CHA</t>
  </si>
  <si>
    <t>LUC</t>
  </si>
  <si>
    <t>A-M</t>
  </si>
  <si>
    <t>ATT</t>
  </si>
  <si>
    <t>End Stats</t>
  </si>
  <si>
    <t>PAR</t>
  </si>
  <si>
    <t>Avg</t>
  </si>
  <si>
    <t>SWI</t>
  </si>
  <si>
    <t>CRI</t>
  </si>
  <si>
    <t>Min is without equip, Max is with</t>
  </si>
  <si>
    <t>SEA</t>
  </si>
  <si>
    <t>MBA</t>
  </si>
  <si>
    <t>MBW</t>
  </si>
  <si>
    <t>First</t>
  </si>
  <si>
    <t>Last</t>
  </si>
  <si>
    <t>MaxCrit</t>
  </si>
  <si>
    <t>Rowan</t>
  </si>
  <si>
    <t>Used in mystic tower book</t>
  </si>
  <si>
    <t>Ezra</t>
  </si>
  <si>
    <t>Elian</t>
  </si>
  <si>
    <t>Caden</t>
  </si>
  <si>
    <t>Lorcan</t>
  </si>
  <si>
    <t>Alden</t>
  </si>
  <si>
    <t>Dorian</t>
  </si>
  <si>
    <t>Silas</t>
  </si>
  <si>
    <t>Merrick</t>
  </si>
  <si>
    <t>Cyrus</t>
  </si>
  <si>
    <t>New graphic</t>
  </si>
  <si>
    <t>Used in</t>
  </si>
  <si>
    <t>Roof of building Lyramion</t>
  </si>
  <si>
    <t>Manyeyes Castle</t>
  </si>
  <si>
    <t>Roof of building Forest moon</t>
  </si>
  <si>
    <t>Ruin Tower</t>
  </si>
  <si>
    <t>Desert</t>
  </si>
  <si>
    <t>none/reused</t>
  </si>
  <si>
    <t>Element fixes:</t>
  </si>
  <si>
    <t>Mystical Globe: Physical (4) -&gt; Mental (1)</t>
  </si>
  <si>
    <t>- AM2_CPU (ger): 0x4414F</t>
  </si>
  <si>
    <t>- AM2_BLIT (ger): 0x46E9F</t>
  </si>
  <si>
    <t>- AM2_CPU (eng): 0x4413F</t>
  </si>
  <si>
    <t>- AM2_BLIT (eng): 0x46E8F</t>
  </si>
  <si>
    <t>Show Monster LP: Undead (8) -&gt; Mental (1)</t>
  </si>
  <si>
    <t>- AM2_CPU (ger): 0x44154</t>
  </si>
  <si>
    <t>- AM2_BLIT (ger): 0x46EA4</t>
  </si>
  <si>
    <t>- AM2_CPU (eng): 0x44144</t>
  </si>
  <si>
    <t>- AM2_BLIT (eng): 0x46E94</t>
  </si>
  <si>
    <t>Whirlwind: None (0) -&gt; Wind (32)</t>
  </si>
  <si>
    <t>- AM2_CPU (ger): 0x44203</t>
  </si>
  <si>
    <t>- AM2_BLIT (ger): 0x46F53</t>
  </si>
  <si>
    <t>- AM2_CPU (eng): 0x441F3</t>
  </si>
  <si>
    <t>- AM2_BLIT (eng): 0x46F43</t>
  </si>
  <si>
    <t>LP Stealer: Physical (4) -&gt; Undead (8)</t>
  </si>
  <si>
    <t>- AM2_CPU (ger): 0x440F5</t>
  </si>
  <si>
    <t>- AM2_BLIT (ger): 0x46E45</t>
  </si>
  <si>
    <t>- AM2_CPU (eng): 0x440E5</t>
  </si>
  <si>
    <t>- AM2_BLIT (eng): 0x46E35</t>
  </si>
  <si>
    <t>Dispell Undead: Undead (8) -&gt; None (0)</t>
  </si>
  <si>
    <t>- AM2_CPU (ger): 0x4400F</t>
  </si>
  <si>
    <t>- AM2_BLIT (ger): 0x46D5F</t>
  </si>
  <si>
    <t>- AM2_CPU (eng): 0x43FFF</t>
  </si>
  <si>
    <t>- AM2_BLIT (eng): 0x46D4F</t>
  </si>
  <si>
    <t>Destroy Undead: Undead (8) -&gt; None (0)</t>
  </si>
  <si>
    <t>- AM2_CPU (ger): 0x44014</t>
  </si>
  <si>
    <t>- AM2_BLIT (ger): 0x46D64</t>
  </si>
  <si>
    <t>- AM2_CPU (eng): 0x44004</t>
  </si>
  <si>
    <t>- AM2_BLIT (eng): 0x46D54</t>
  </si>
  <si>
    <t>Holy Word: Undead (8) -&gt; None (0)</t>
  </si>
  <si>
    <t>- AM2_CPU (ger): 0x44019</t>
  </si>
  <si>
    <t>- AM2_BLIT (ger): 0x46D69</t>
  </si>
  <si>
    <t>- AM2_CPU (eng): 0x44009</t>
  </si>
  <si>
    <t>- AM2_BLIT (eng): 0x46D59</t>
  </si>
  <si>
    <t>Monster</t>
  </si>
  <si>
    <t>NPCs</t>
  </si>
  <si>
    <t>Chests</t>
  </si>
  <si>
    <t>Amount</t>
  </si>
  <si>
    <t>Location</t>
  </si>
  <si>
    <t>Sandechse</t>
  </si>
  <si>
    <t>17 (Party)</t>
  </si>
  <si>
    <t>S’Ebi</t>
  </si>
  <si>
    <t>After rescue</t>
  </si>
  <si>
    <t>Mech. Wache 1</t>
  </si>
  <si>
    <t>Mech. Wache 2</t>
  </si>
  <si>
    <t>Mech. Wache 3</t>
  </si>
  <si>
    <t>Mech. Wache 4</t>
  </si>
  <si>
    <t>Mech. Wache 5</t>
  </si>
  <si>
    <t>Antiker Wächter</t>
  </si>
  <si>
    <t>Luftschiffwache</t>
  </si>
  <si>
    <t>Luftschiffechse</t>
  </si>
  <si>
    <t>Budget (Ziel: ~600 ohne Grinden, 100 pro Charakter fuer Level 50 -&gt; 55)</t>
  </si>
  <si>
    <t>Quelle</t>
  </si>
  <si>
    <t>Anzahl</t>
  </si>
  <si>
    <t>Je</t>
  </si>
  <si>
    <t>Summe</t>
  </si>
  <si>
    <t>Status</t>
  </si>
  <si>
    <t>Notiz</t>
  </si>
  <si>
    <t>Staubteufel S'Angrila (441)</t>
  </si>
  <si>
    <t>Ist</t>
  </si>
  <si>
    <t>Sandechsen fix (449, 450)</t>
  </si>
  <si>
    <t>Mechan. Wachen 1-5 (484)</t>
  </si>
  <si>
    <t>1+2+3+4+5</t>
  </si>
  <si>
    <t>Antiker Waechter (484)</t>
  </si>
  <si>
    <t>Luftschiff Monster (486)</t>
  </si>
  <si>
    <t>3x Wache a 2, 2x Echse a 1</t>
  </si>
  <si>
    <t>Luftschiff Truhe 304</t>
  </si>
  <si>
    <t>S'Ebi nach Befreiung</t>
  </si>
  <si>
    <t>Ratsechsen (7 Tempel)</t>
  </si>
  <si>
    <t>Geplant</t>
  </si>
  <si>
    <t>10/15/20/25/30... laut Levelgrenze.md</t>
  </si>
  <si>
    <t>Tempeltruhen</t>
  </si>
  <si>
    <t>5-30 je Truhe</t>
  </si>
  <si>
    <t>Antike Bosse S-1/B-1/F-1</t>
  </si>
  <si>
    <t>Antiker Waechter (7) ist evtl. nur Vorstufe</t>
  </si>
  <si>
    <t>Riesenechse + Eskorte</t>
  </si>
  <si>
    <t>Moraggolems Alte Stadt</t>
  </si>
  <si>
    <t>3-8 je Golem</t>
  </si>
  <si>
    <t>Monster Alte Stadt (483)</t>
  </si>
  <si>
    <t>Truhen Zentraltempel (485)</t>
  </si>
  <si>
    <t>Truhen Lyramion-Gewoelbe</t>
  </si>
  <si>
    <t>Rebellenquest Gift</t>
  </si>
  <si>
    <t>Rebellenquest Belauschen + Graben</t>
  </si>
  <si>
    <t>Truhe + Kampf</t>
  </si>
  <si>
    <t>Zufallskaempfe Morag (Sandechsen)</t>
  </si>
  <si>
    <t>Grinding</t>
  </si>
  <si>
    <t>Nur auf 514/520/521/524/525, nicht im Budget</t>
  </si>
  <si>
    <t>Summe Ist</t>
  </si>
  <si>
    <t>Summe Geplant</t>
  </si>
  <si>
    <t>Gesamt</t>
  </si>
  <si>
    <t>Platzhalter Boss 2 (B-1), aktuell 1x Antiker Wächter (111), genutzt in Map 484 Event 498</t>
  </si>
  <si>
    <t>Platzhalter Boss 3 (F-1), aktuell 1x Antiker Wächter (111), genutzt in Map 484 Event 505</t>
  </si>
  <si>
    <t>Buchstaben die man auf geschlossene Wandfächer anwendet gehen verloren  [erledigt 06.10.: Else-Zweige in Map 484 (Events 173/242/263/291/310) geben den Buchstaben jetzt zurück]</t>
  </si>
  <si>
    <t>Bossräume 2/3 in Map 484 nutzten die Gruppen 167/168 (Luftschiff-Monster). Jetzt Platzhalter-Gruppen 170/171 (Antiker Wächter). Beim Bauen der echten Bosse nur Gruppen 170/171 anpassen.</t>
  </si>
  <si>
    <t>Teleports in die alte Stadt fehlen teilweise  [erledigt 06.10.: Eingänge NO/SO/S/SW/NW (Ketten 6-10 auf Map 522) waren im Savegame deaktiviert und wurden nie freigeschaltet. Jetzt beim Auftauchen und zusätzlich beim Betreten über Nord (repariert alte Spielstände)]</t>
  </si>
  <si>
    <t>Luminors Turm 5 (Map 298): fehlender Text #9 ergänzt (DE importiert, EN nur AllTexts). Altes Problem, evtl. auch als Bugfix für 1.33 auf main übernehmen.</t>
  </si>
  <si>
    <t>Datenprüfung: tools/ambtools/validate.py nach jeder Datenänderung laufen lassen (aktuell keine Fehler).</t>
  </si>
  <si>
    <t>Copy of overlay 37, padded so PositionX is a multiple of 8</t>
  </si>
  <si>
    <t>Labdata 5, wall 22</t>
  </si>
  <si>
    <t>2Overlay3D.amb + 3Overlay3D.amb</t>
  </si>
  <si>
    <t>Copy of overlay 38, padded so PositionX is a multiple of 8</t>
  </si>
  <si>
    <t>Labdata 5, wall 23</t>
  </si>
  <si>
    <t>Copy of overlay 40, padded so PositionX is a multiple of 8</t>
  </si>
  <si>
    <t>Labdata 5, wall 24</t>
  </si>
  <si>
    <t>Labdata 5, wall 25</t>
  </si>
  <si>
    <t>Copy of overlay 74, padded so PositionX is a multiple of 8</t>
  </si>
  <si>
    <t>Labdata 5, wall 30</t>
  </si>
  <si>
    <t>Copy of overlay 33, padded so PositionX is a multiple of 8</t>
  </si>
  <si>
    <t>Labdata 20, wall 11</t>
  </si>
  <si>
    <t>Copy of overlay 34, padded so PositionX is a multiple of 8</t>
  </si>
  <si>
    <t>Copy of overlay 35, padded so PositionX is a multiple of 8</t>
  </si>
  <si>
    <t>Copy of overlay 36, padded so PositionX is a multiple of 8</t>
  </si>
  <si>
    <t>Copy of overlay 95, padded so PositionX is a multiple of 8</t>
  </si>
  <si>
    <t>Labdata 38, wall 9</t>
  </si>
  <si>
    <t>Labdata 40, wall 10</t>
  </si>
  <si>
    <t>Copy of overlay 109, padded so PositionX is a multiple of 8</t>
  </si>
  <si>
    <t>Labdata 41, wall 2+4</t>
  </si>
  <si>
    <t>Copy of overlay 110, padded so PositionX is a multiple of 8</t>
  </si>
  <si>
    <t>Labdata 41, wall 3+4</t>
  </si>
  <si>
    <t>Copy of overlay 111, padded so PositionX is a multiple of 8</t>
  </si>
  <si>
    <t>Labdata 42, wall 2</t>
  </si>
  <si>
    <t>Copy of overlay 113, padded so PositionX is a multiple of 8</t>
  </si>
  <si>
    <t>Labdata 42, wall 6</t>
  </si>
  <si>
    <t>Copy of overlay 114, padded so PositionX is a multiple of 8</t>
  </si>
  <si>
    <t>Labdata 42, wall 8</t>
  </si>
  <si>
    <t>Copy of overlay 118, padded so PositionX is a multiple of 8</t>
  </si>
  <si>
    <t>Labdata 42, wall 11</t>
  </si>
  <si>
    <t>Fix all misaligned overlays (see MisalignedOverlays.txt in project folder). They always must have PositionX of a multiple of 8.  [erledigt 06.10.: Alle 20 Overlays auf X-Vielfache von 8 gesetzt, neue gepolsterte Texturen 133-150 (Optik im Remake unver�ndert)]</t>
  </si>
  <si>
    <t>Objekte (06.10.): 1 kleine Säule (Tex 10), 2 Steinblock (11), 3 Steine (12), 4 große Säule (102), 5 Staubteufel (401), 6 Sandechse (39), 7 Skelett (36), 8 orange Steine (410). Gruppen 1-9 (8 = Schutt, 9 = verstreute orange Steine)</t>
  </si>
  <si>
    <t>3x 2 Sandechsen, 1x Sandechse, 3x Staubteufel</t>
  </si>
  <si>
    <t>Die alte Stadt ist sehr leer. Objekte und Monster (Sandteufel und Echsen) platzieren.  [erledigt 06.10.: Erster Durchgang: Labdata 43 hat jetzt Objekte, 41 Deko-Blöcke und 7 Monstergruppen auf Map 483. Moraggolems fehlen noch (keine Grafik)]</t>
  </si>
  <si>
    <t>Robot with new spell must prioritize moving if no target is in range.  [erledigt 06.10.: War schon umgesetzt (Mai). Absturz behoben, wenn kein Bewegungsfeld frei ist (Ambermoon.net Branch aa4-fixes)]</t>
  </si>
  <si>
    <t>Ep3-Spielstand lädt mit Ep4-Daten im Remake nicht ('Fehler beim Laden des Spielstands'). Savegame-Patching Ep3 -&gt; Ep4 (diffs) fehlt noch.</t>
  </si>
  <si>
    <t>Remake Branch aa4-fixes: CLI für Tests (--data, --skip-intro, --load 0, --cheat, --screenshot, --exit-after). Testdaten: tools/ambtools/make_testdata.py</t>
  </si>
  <si>
    <t>Englisch: alle 244 neuen Ep4-Texte übersetzt (english/Amberfiles/AllTexts, Quelle tools/translations/ep4_english.py). Bitte gegenlesen. Neue deutsche Texte später ebenfalls nachziehen.</t>
  </si>
  <si>
    <t>Wise man house Stühle: Screenshots aus dem Remake vorhanden, Vergleich mit Amiga steht noch aus.</t>
  </si>
  <si>
    <t>Set 3D combat background 13 to graphic 13  [erledigt 06.10.: Remake erledigt (CombatBackgrounds.AdvancedReplacements3D, Branch aa4-fixes, per Szenario getestet). Amiga noch offen.]</t>
  </si>
  <si>
    <t>- Man kann Türevents überspringen mit Sprung wenn die Tür nicht blockiert. Auch Places, etc.  [erledigt 07.10.: Sprung prüft verschlossene Türen, Orte und Rätselmünder (Advanced-Prüfung korrigiert, ins Original übernommen, auf dem Amiga getestet)]</t>
  </si>
  <si>
    <t>- Guru (roter Alert) beim Beenden über Quit. Auf dem Amiga (FS-UAE A1200, Kickstart 3.1) von der Festplatte, mit und ohne Workbench, auch mit der alten Exe (also schon länger 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</si>
</sst>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h]:mm:ss"/>
    <numFmt numFmtId="165" formatCode="\+0\%;\-0\%;&quot;No change&quot;"/>
  </numFmts>
  <fonts count="11" x14ac:knownFonts="1">
    <font>
      <sz val="11"/>
      <color rgb="FF000000"/>
      <name val="Calibri"/>
      <family val="2"/>
      <charset val="1"/>
    </font>
    <font>
      <b/>
      <sz val="11"/>
      <color rgb="FF000000"/>
      <name val="Calibri"/>
      <family val="2"/>
      <charset val="1"/>
    </font>
    <font>
      <b/>
      <sz val="11"/>
      <color rgb="FFFFFFD7"/>
      <name val="Calibri"/>
      <family val="2"/>
      <charset val="1"/>
    </font>
    <font>
      <sz val="11"/>
      <name val="Calibri"/>
      <family val="2"/>
      <charset val="1"/>
    </font>
    <font>
      <sz val="11"/>
      <color rgb="FF9C5700"/>
      <name val="Calibri"/>
      <family val="2"/>
      <charset val="1"/>
    </font>
    <font>
      <sz val="11"/>
      <color rgb="FF000000"/>
      <name val="Calibri"/>
      <family val="2"/>
    </font>
    <font>
      <sz val="11"/>
      <color rgb="FFFF0000"/>
      <name val="Calibri"/>
      <family val="2"/>
      <charset val="1"/>
    </font>
    <font>
      <b/>
      <sz val="11"/>
      <color rgb="FF468A1A"/>
      <name val="Calibri"/>
      <family val="2"/>
      <charset val="1"/>
    </font>
    <font>
      <sz val="11"/>
      <color rgb="FF999999"/>
      <name val="Calibri"/>
      <family val="2"/>
      <charset val="1"/>
    </font>
    <font>
      <b/>
      <sz val="11"/>
      <color rgb="FF000000"/>
      <name val="Calibri"/>
      <family val="2"/>
    </font>
    <font>
      <strike/>
      <sz val="11"/>
      <color rgb="FF000000"/>
      <name val="Calibri"/>
      <family val="2"/>
      <charset val="1"/>
    </font>
  </fonts>
  <fills count="9">
    <fill>
      <patternFill patternType="none"/>
    </fill>
    <fill>
      <patternFill patternType="gray125"/>
    </fill>
    <fill>
      <patternFill patternType="solid">
        <fgColor rgb="FFFFEB9C"/>
        <bgColor rgb="FFFFFFA6"/>
      </patternFill>
    </fill>
    <fill>
      <patternFill patternType="solid">
        <fgColor rgb="FFFFFF00"/>
        <bgColor rgb="FFFFFF00"/>
      </patternFill>
    </fill>
    <fill>
      <patternFill patternType="solid">
        <fgColor rgb="FF8D1D75"/>
        <bgColor rgb="FF993366"/>
      </patternFill>
    </fill>
    <fill>
      <patternFill patternType="solid">
        <fgColor rgb="FF81D41A"/>
        <bgColor rgb="FF999999"/>
      </patternFill>
    </fill>
    <fill>
      <patternFill patternType="solid">
        <fgColor rgb="FFF4B183"/>
        <bgColor rgb="FFFF99CC"/>
      </patternFill>
    </fill>
    <fill>
      <patternFill patternType="solid">
        <fgColor rgb="FFFFBF00"/>
        <bgColor rgb="FFFF9900"/>
      </patternFill>
    </fill>
    <fill>
      <patternFill patternType="solid">
        <fgColor rgb="FFFFFFA6"/>
        <bgColor rgb="FFFFEB9C"/>
      </patternFill>
    </fill>
  </fills>
  <borders count="28">
    <border>
      <left/>
      <right/>
      <top/>
      <bottom/>
      <diagonal/>
    </border>
    <border>
      <left style="medium">
        <color auto="1"/>
      </left>
      <right style="medium">
        <color auto="1"/>
      </right>
      <top style="medium">
        <color auto="1"/>
      </top>
      <bottom style="medium">
        <color auto="1"/>
      </bottom>
      <diagonal/>
    </border>
    <border>
      <left style="hair">
        <color auto="1"/>
      </left>
      <right style="hair">
        <color auto="1"/>
      </right>
      <top style="hair">
        <color auto="1"/>
      </top>
      <bottom style="hair">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thin">
        <color auto="1"/>
      </bottom>
      <diagonal/>
    </border>
    <border>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medium">
        <color auto="1"/>
      </left>
      <right style="medium">
        <color auto="1"/>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top style="medium">
        <color auto="1"/>
      </top>
      <bottom style="medium">
        <color auto="1"/>
      </bottom>
      <diagonal/>
    </border>
    <border>
      <left style="thin">
        <color auto="1"/>
      </left>
      <right style="thin">
        <color auto="1"/>
      </right>
      <top style="thin">
        <color auto="1"/>
      </top>
      <bottom/>
      <diagonal/>
    </border>
  </borders>
  <cellStyleXfs count="2">
    <xf numFmtId="0" fontId="0" fillId="0" borderId="0"/>
    <xf numFmtId="0" fontId="4" fillId="2" borderId="0" applyBorder="0" applyProtection="0"/>
  </cellStyleXfs>
  <cellXfs count="83">
    <xf numFmtId="0" fontId="0" fillId="0" borderId="0" xfId="0"/>
    <xf numFmtId="0" fontId="2" fillId="4" borderId="0" xfId="0" applyFont="1" applyFill="1"/>
    <xf numFmtId="0" fontId="0" fillId="5" borderId="0" xfId="0" applyFill="1"/>
    <xf numFmtId="0" fontId="0" fillId="3" borderId="0" xfId="0" applyFill="1"/>
    <xf numFmtId="0" fontId="1" fillId="0" borderId="0" xfId="0" applyFont="1"/>
    <xf numFmtId="0" fontId="0" fillId="6" borderId="1" xfId="0" applyFill="1" applyBorder="1"/>
    <xf numFmtId="0" fontId="3" fillId="0" borderId="0" xfId="0" applyFont="1"/>
    <xf numFmtId="164" fontId="0" fillId="0" borderId="0" xfId="0" applyNumberFormat="1"/>
    <xf numFmtId="3" fontId="0" fillId="0" borderId="0" xfId="0" applyNumberFormat="1"/>
    <xf numFmtId="0" fontId="0" fillId="0" borderId="0" xfId="0" applyAlignment="1">
      <alignment wrapText="1"/>
    </xf>
    <xf numFmtId="0" fontId="5" fillId="0" borderId="0" xfId="0" applyFont="1"/>
    <xf numFmtId="0" fontId="4" fillId="2" borderId="0" xfId="1" applyBorder="1" applyProtection="1"/>
    <xf numFmtId="0" fontId="1" fillId="3" borderId="2" xfId="0" applyFont="1" applyFill="1" applyBorder="1"/>
    <xf numFmtId="0" fontId="0" fillId="0" borderId="0" xfId="0" applyAlignment="1">
      <alignment horizontal="center" vertical="center"/>
    </xf>
    <xf numFmtId="0" fontId="0" fillId="0" borderId="0" xfId="0" applyAlignment="1">
      <alignment vertical="center"/>
    </xf>
    <xf numFmtId="0" fontId="0" fillId="0" borderId="0" xfId="0" applyAlignment="1">
      <alignment horizontal="center"/>
    </xf>
    <xf numFmtId="0" fontId="0" fillId="0" borderId="0" xfId="0" applyAlignment="1">
      <alignment horizontal="right"/>
    </xf>
    <xf numFmtId="0" fontId="1" fillId="3" borderId="3" xfId="0" applyFont="1" applyFill="1" applyBorder="1"/>
    <xf numFmtId="0" fontId="1" fillId="3" borderId="4" xfId="0" applyFont="1" applyFill="1" applyBorder="1"/>
    <xf numFmtId="0" fontId="4" fillId="2" borderId="5" xfId="1" applyBorder="1" applyProtection="1"/>
    <xf numFmtId="0" fontId="4" fillId="2" borderId="6" xfId="1" applyBorder="1" applyProtection="1"/>
    <xf numFmtId="0" fontId="4" fillId="2" borderId="7" xfId="1" applyBorder="1" applyProtection="1"/>
    <xf numFmtId="0" fontId="4" fillId="2" borderId="8" xfId="1" applyBorder="1" applyProtection="1"/>
    <xf numFmtId="0" fontId="4" fillId="2" borderId="9" xfId="1" applyBorder="1" applyProtection="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1" fillId="0" borderId="12" xfId="0" applyFont="1"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4" fillId="2" borderId="20" xfId="1" applyBorder="1" applyProtection="1"/>
    <xf numFmtId="0" fontId="0" fillId="0" borderId="21" xfId="0" applyBorder="1"/>
    <xf numFmtId="0" fontId="1" fillId="0" borderId="21" xfId="0" applyFont="1" applyBorder="1"/>
    <xf numFmtId="0" fontId="0" fillId="0" borderId="22" xfId="0" applyBorder="1"/>
    <xf numFmtId="0" fontId="1" fillId="0" borderId="22" xfId="0" applyFont="1" applyBorder="1"/>
    <xf numFmtId="0" fontId="1" fillId="3" borderId="23" xfId="0" applyFont="1" applyFill="1" applyBorder="1"/>
    <xf numFmtId="0" fontId="1" fillId="3" borderId="24" xfId="0" applyFont="1" applyFill="1" applyBorder="1"/>
    <xf numFmtId="0" fontId="1" fillId="3" borderId="25" xfId="0" applyFont="1" applyFill="1" applyBorder="1"/>
    <xf numFmtId="0" fontId="0" fillId="3" borderId="1" xfId="0" applyFill="1" applyBorder="1"/>
    <xf numFmtId="0" fontId="4" fillId="2" borderId="1" xfId="1" applyBorder="1" applyProtection="1"/>
    <xf numFmtId="0" fontId="4" fillId="2" borderId="26" xfId="1" applyBorder="1" applyProtection="1"/>
    <xf numFmtId="0" fontId="4" fillId="2" borderId="4" xfId="1" applyBorder="1" applyProtection="1"/>
    <xf numFmtId="16" fontId="0" fillId="0" borderId="0" xfId="0" applyNumberFormat="1"/>
    <xf numFmtId="0" fontId="4" fillId="2" borderId="8" xfId="1" applyBorder="1" applyAlignment="1" applyProtection="1">
      <alignment horizontal="center"/>
    </xf>
    <xf numFmtId="0" fontId="4" fillId="2" borderId="7" xfId="1" applyBorder="1" applyAlignment="1" applyProtection="1">
      <alignment horizontal="center"/>
    </xf>
    <xf numFmtId="165" fontId="0" fillId="0" borderId="12" xfId="0" applyNumberFormat="1" applyBorder="1"/>
    <xf numFmtId="165" fontId="0" fillId="0" borderId="17" xfId="0" applyNumberFormat="1" applyBorder="1"/>
    <xf numFmtId="0" fontId="4" fillId="2" borderId="13" xfId="1" applyBorder="1" applyProtection="1"/>
    <xf numFmtId="0" fontId="4" fillId="2" borderId="18" xfId="1" applyBorder="1" applyProtection="1"/>
    <xf numFmtId="0" fontId="4" fillId="2" borderId="21" xfId="1" applyBorder="1" applyProtection="1"/>
    <xf numFmtId="0" fontId="6" fillId="0" borderId="0" xfId="0" applyFont="1"/>
    <xf numFmtId="0" fontId="0" fillId="0" borderId="21" xfId="0" applyBorder="1" applyAlignment="1">
      <alignment horizontal="center"/>
    </xf>
    <xf numFmtId="0" fontId="0" fillId="0" borderId="21" xfId="0" applyBorder="1" applyAlignment="1">
      <alignment horizontal="right"/>
    </xf>
    <xf numFmtId="0" fontId="0" fillId="0" borderId="2" xfId="0" applyBorder="1"/>
    <xf numFmtId="0" fontId="0" fillId="0" borderId="2" xfId="0" applyBorder="1" applyAlignment="1">
      <alignment horizontal="center"/>
    </xf>
    <xf numFmtId="0" fontId="0" fillId="0" borderId="2" xfId="0" applyBorder="1" applyAlignment="1">
      <alignment horizontal="right"/>
    </xf>
    <xf numFmtId="0" fontId="0" fillId="7" borderId="0" xfId="0" applyFill="1"/>
    <xf numFmtId="0" fontId="7" fillId="0" borderId="0" xfId="0" applyFont="1" applyProtection="1">
      <protection locked="0"/>
    </xf>
    <xf numFmtId="0" fontId="8" fillId="0" borderId="0" xfId="0" applyFont="1"/>
    <xf numFmtId="0" fontId="0" fillId="0" borderId="0" xfId="0" applyProtection="1">
      <protection locked="0"/>
    </xf>
    <xf numFmtId="0" fontId="0" fillId="5" borderId="2" xfId="0" applyFill="1" applyBorder="1"/>
    <xf numFmtId="0" fontId="0" fillId="8" borderId="2" xfId="0" applyFill="1" applyBorder="1"/>
    <xf numFmtId="0" fontId="9" fillId="0" borderId="0" xfId="0" applyFont="1"/>
    <xf numFmtId="0" fontId="10" fillId="0" borderId="0" xfId="0" applyFont="1"/>
    <xf numFmtId="0" fontId="0" fillId="3" borderId="1" xfId="0" applyFill="1" applyBorder="1" applyAlignment="1">
      <alignment horizontal="center"/>
    </xf>
    <xf numFmtId="0" fontId="1" fillId="3" borderId="0" xfId="0" applyFont="1" applyFill="1" applyAlignment="1">
      <alignment horizontal="center"/>
    </xf>
    <xf numFmtId="0" fontId="0" fillId="6" borderId="1" xfId="0" applyFill="1" applyBorder="1" applyAlignment="1">
      <alignment horizontal="center" vertical="center"/>
    </xf>
    <xf numFmtId="0" fontId="0" fillId="3" borderId="2" xfId="0" applyFill="1" applyBorder="1" applyAlignment="1">
      <alignment horizontal="center" vertical="center"/>
    </xf>
    <xf numFmtId="0" fontId="4" fillId="2" borderId="2" xfId="1" applyBorder="1" applyAlignment="1" applyProtection="1">
      <alignment horizontal="center"/>
    </xf>
    <xf numFmtId="0" fontId="4" fillId="2" borderId="1" xfId="1" applyBorder="1" applyAlignment="1" applyProtection="1">
      <alignment horizontal="center"/>
    </xf>
    <xf numFmtId="0" fontId="1" fillId="3" borderId="1" xfId="0" applyFont="1" applyFill="1" applyBorder="1" applyAlignment="1">
      <alignment horizontal="center"/>
    </xf>
    <xf numFmtId="0" fontId="4" fillId="2" borderId="27" xfId="1" applyBorder="1" applyAlignment="1" applyProtection="1">
      <alignment horizontal="left"/>
    </xf>
    <xf numFmtId="0" fontId="0" fillId="0" borderId="21" xfId="0" applyBorder="1" applyAlignment="1">
      <alignment horizontal="left"/>
    </xf>
    <xf numFmtId="0" fontId="1" fillId="0" borderId="21" xfId="0" applyFont="1" applyBorder="1" applyAlignment="1">
      <alignment horizontal="left"/>
    </xf>
    <xf numFmtId="0" fontId="4" fillId="2" borderId="21" xfId="1" applyBorder="1" applyAlignment="1" applyProtection="1">
      <alignment horizontal="center"/>
    </xf>
    <xf numFmtId="0" fontId="1" fillId="3" borderId="2" xfId="0" applyFont="1" applyFill="1" applyBorder="1" applyAlignment="1">
      <alignment horizontal="center" vertical="center"/>
    </xf>
    <xf numFmtId="0" fontId="0" fillId="3" borderId="0" xfId="0" applyFill="1" applyAlignment="1">
      <alignment horizontal="center" vertical="center"/>
    </xf>
    <xf numFmtId="0" fontId="0" fillId="0" borderId="0" xfId="0" applyFont="1"/>
  </cellXfs>
  <cellStyles count="2">
    <cellStyle name="Excel Built-in Neutral" xfId="1" xr:uid="{00000000-0005-0000-0000-000006000000}"/>
    <cellStyle name="Standard"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8D1D75"/>
      <rgbColor rgb="FFFFFFD7"/>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FFEB9C"/>
      <rgbColor rgb="FFFFFFA6"/>
      <rgbColor rgb="FF99CCFF"/>
      <rgbColor rgb="FFFF99CC"/>
      <rgbColor rgb="FFCC99FF"/>
      <rgbColor rgb="FFF4B183"/>
      <rgbColor rgb="FF3366FF"/>
      <rgbColor rgb="FF33CCCC"/>
      <rgbColor rgb="FF81D41A"/>
      <rgbColor rgb="FFFFBF00"/>
      <rgbColor rgb="FFFF9900"/>
      <rgbColor rgb="FFFF6600"/>
      <rgbColor rgb="FF666699"/>
      <rgbColor rgb="FF999999"/>
      <rgbColor rgb="FF003366"/>
      <rgbColor rgb="FF468A1A"/>
      <rgbColor rgb="FF003300"/>
      <rgbColor rgb="FF333300"/>
      <rgbColor rgb="FF9C57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37.xml.rels><?xml version="1.0" encoding="UTF-8" standalone="yes"?>
<Relationships xmlns="http://schemas.openxmlformats.org/package/2006/relationships"><Relationship Id="rId1" Type="http://schemas.openxmlformats.org/officeDocument/2006/relationships/hyperlink" Target="https://github.com/Pyrdacor/Ambermoon/issues/4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9"/>
  <sheetViews>
    <sheetView topLeftCell="C1" zoomScaleNormal="100" workbookViewId="0">
      <selection activeCell="F6" sqref="F6"/>
    </sheetView>
  </sheetViews>
  <sheetFormatPr baseColWidth="10" defaultColWidth="11.5703125" defaultRowHeight="15" x14ac:dyDescent="0.25"/>
  <cols>
    <col min="2" max="2" width="14.85546875" customWidth="1"/>
    <col min="6" max="6" width="14.85546875" customWidth="1"/>
    <col min="9" max="9" width="13.140625" customWidth="1"/>
  </cols>
  <sheetData>
    <row r="1" spans="1:14" x14ac:dyDescent="0.25">
      <c r="A1" s="70" t="s">
        <v>0</v>
      </c>
      <c r="B1" s="70"/>
      <c r="E1" s="70" t="s">
        <v>1</v>
      </c>
      <c r="F1" s="70"/>
      <c r="I1" s="70" t="s">
        <v>2</v>
      </c>
      <c r="J1" s="70"/>
      <c r="M1" s="70" t="s">
        <v>3</v>
      </c>
      <c r="N1" s="70"/>
    </row>
    <row r="2" spans="1:14" x14ac:dyDescent="0.25">
      <c r="A2">
        <v>339</v>
      </c>
      <c r="B2">
        <v>20</v>
      </c>
      <c r="E2">
        <v>378</v>
      </c>
      <c r="F2" t="s">
        <v>4</v>
      </c>
      <c r="I2">
        <v>74</v>
      </c>
      <c r="J2" t="s">
        <v>5</v>
      </c>
      <c r="M2">
        <v>22</v>
      </c>
      <c r="N2" t="s">
        <v>6</v>
      </c>
    </row>
    <row r="3" spans="1:14" x14ac:dyDescent="0.25">
      <c r="A3">
        <v>339</v>
      </c>
      <c r="B3">
        <v>21</v>
      </c>
      <c r="E3">
        <v>379</v>
      </c>
      <c r="F3" t="s">
        <v>7</v>
      </c>
      <c r="I3">
        <v>75</v>
      </c>
      <c r="J3" t="s">
        <v>8</v>
      </c>
    </row>
    <row r="4" spans="1:14" x14ac:dyDescent="0.25">
      <c r="A4">
        <v>339</v>
      </c>
      <c r="B4">
        <v>22</v>
      </c>
      <c r="E4">
        <v>380</v>
      </c>
      <c r="F4" t="s">
        <v>9</v>
      </c>
    </row>
    <row r="5" spans="1:14" x14ac:dyDescent="0.25">
      <c r="A5">
        <v>339</v>
      </c>
      <c r="B5">
        <v>23</v>
      </c>
      <c r="E5">
        <v>475</v>
      </c>
      <c r="F5" t="s">
        <v>10</v>
      </c>
    </row>
    <row r="13" spans="1:14" x14ac:dyDescent="0.25">
      <c r="A13">
        <v>263</v>
      </c>
      <c r="B13">
        <v>31</v>
      </c>
    </row>
    <row r="21" spans="1:18" x14ac:dyDescent="0.25">
      <c r="A21" s="70" t="s">
        <v>11</v>
      </c>
      <c r="B21" s="70"/>
      <c r="E21" s="70" t="s">
        <v>12</v>
      </c>
      <c r="F21" s="70"/>
      <c r="I21" s="70" t="s">
        <v>13</v>
      </c>
      <c r="J21" s="70"/>
      <c r="M21" s="70" t="s">
        <v>14</v>
      </c>
      <c r="N21" s="70"/>
      <c r="Q21" s="70" t="s">
        <v>15</v>
      </c>
      <c r="R21" s="70"/>
    </row>
    <row r="22" spans="1:18" x14ac:dyDescent="0.25">
      <c r="A22">
        <v>214</v>
      </c>
      <c r="B22" t="s">
        <v>16</v>
      </c>
      <c r="E22">
        <v>470</v>
      </c>
      <c r="F22" t="s">
        <v>16</v>
      </c>
      <c r="I22" t="s">
        <v>17</v>
      </c>
      <c r="J22" t="s">
        <v>18</v>
      </c>
      <c r="M22">
        <v>474</v>
      </c>
      <c r="N22">
        <v>0</v>
      </c>
      <c r="Q22">
        <v>474</v>
      </c>
      <c r="R22">
        <v>21</v>
      </c>
    </row>
    <row r="23" spans="1:18" x14ac:dyDescent="0.25">
      <c r="A23">
        <v>215</v>
      </c>
      <c r="B23" t="s">
        <v>19</v>
      </c>
      <c r="E23">
        <v>471</v>
      </c>
      <c r="F23" t="s">
        <v>19</v>
      </c>
      <c r="Q23">
        <v>474</v>
      </c>
      <c r="R23">
        <v>23</v>
      </c>
    </row>
    <row r="24" spans="1:18" x14ac:dyDescent="0.25">
      <c r="A24">
        <v>216</v>
      </c>
      <c r="B24" t="s">
        <v>20</v>
      </c>
      <c r="E24">
        <v>472</v>
      </c>
      <c r="F24" t="s">
        <v>21</v>
      </c>
    </row>
    <row r="25" spans="1:18" x14ac:dyDescent="0.25">
      <c r="A25">
        <v>217</v>
      </c>
      <c r="B25" t="s">
        <v>22</v>
      </c>
      <c r="E25">
        <v>473</v>
      </c>
      <c r="F25" t="s">
        <v>20</v>
      </c>
    </row>
    <row r="26" spans="1:18" x14ac:dyDescent="0.25">
      <c r="A26">
        <v>218</v>
      </c>
      <c r="B26" t="s">
        <v>23</v>
      </c>
      <c r="E26">
        <v>474</v>
      </c>
      <c r="F26" t="s">
        <v>24</v>
      </c>
    </row>
    <row r="27" spans="1:18" x14ac:dyDescent="0.25">
      <c r="E27">
        <v>475</v>
      </c>
      <c r="F27" t="s">
        <v>25</v>
      </c>
    </row>
    <row r="28" spans="1:18" x14ac:dyDescent="0.25">
      <c r="E28">
        <v>476</v>
      </c>
      <c r="F28" t="s">
        <v>22</v>
      </c>
    </row>
    <row r="29" spans="1:18" x14ac:dyDescent="0.25">
      <c r="E29">
        <v>477</v>
      </c>
      <c r="F29" t="s">
        <v>23</v>
      </c>
    </row>
  </sheetData>
  <mergeCells count="9">
    <mergeCell ref="Q21:R21"/>
    <mergeCell ref="A1:B1"/>
    <mergeCell ref="E1:F1"/>
    <mergeCell ref="I1:J1"/>
    <mergeCell ref="M1:N1"/>
    <mergeCell ref="A21:B21"/>
    <mergeCell ref="E21:F21"/>
    <mergeCell ref="I21:J21"/>
    <mergeCell ref="M21:N21"/>
  </mergeCells>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Roman,Regular"&amp;12&amp;KffffffSeite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3"/>
  <sheetViews>
    <sheetView zoomScaleNormal="100" workbookViewId="0">
      <selection activeCell="A23" sqref="A23"/>
    </sheetView>
  </sheetViews>
  <sheetFormatPr baseColWidth="10" defaultColWidth="11.5703125" defaultRowHeight="15" x14ac:dyDescent="0.25"/>
  <cols>
    <col min="1" max="1" width="193.28515625" customWidth="1"/>
  </cols>
  <sheetData>
    <row r="1" spans="1:1" x14ac:dyDescent="0.25">
      <c r="A1" s="1" t="s">
        <v>26</v>
      </c>
    </row>
    <row r="3" spans="1:1" x14ac:dyDescent="0.25">
      <c r="A3" s="2" t="s">
        <v>27</v>
      </c>
    </row>
    <row r="4" spans="1:1" x14ac:dyDescent="0.25">
      <c r="A4" s="2" t="s">
        <v>28</v>
      </c>
    </row>
    <row r="5" spans="1:1" x14ac:dyDescent="0.25">
      <c r="A5" s="2" t="s">
        <v>29</v>
      </c>
    </row>
    <row r="6" spans="1:1" x14ac:dyDescent="0.25">
      <c r="A6" s="2" t="s">
        <v>30</v>
      </c>
    </row>
    <row r="7" spans="1:1" x14ac:dyDescent="0.25">
      <c r="A7" s="3" t="s">
        <v>31</v>
      </c>
    </row>
    <row r="8" spans="1:1" x14ac:dyDescent="0.25">
      <c r="A8" t="s">
        <v>32</v>
      </c>
    </row>
    <row r="9" spans="1:1" x14ac:dyDescent="0.25">
      <c r="A9" s="2" t="s">
        <v>33</v>
      </c>
    </row>
    <row r="10" spans="1:1" x14ac:dyDescent="0.25">
      <c r="A10" s="2" t="s">
        <v>34</v>
      </c>
    </row>
    <row r="11" spans="1:1" x14ac:dyDescent="0.25">
      <c r="A11" s="2" t="s">
        <v>35</v>
      </c>
    </row>
    <row r="12" spans="1:1" x14ac:dyDescent="0.25">
      <c r="A12" t="s">
        <v>36</v>
      </c>
    </row>
    <row r="13" spans="1:1" x14ac:dyDescent="0.25">
      <c r="A13" t="s">
        <v>37</v>
      </c>
    </row>
    <row r="14" spans="1:1" x14ac:dyDescent="0.25">
      <c r="A14" t="s">
        <v>38</v>
      </c>
    </row>
    <row r="23" spans="1:1" x14ac:dyDescent="0.25">
      <c r="A23" t="s">
        <v>39</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Roman,Regular"&amp;12&amp;KffffffSeite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3"/>
  <sheetViews>
    <sheetView zoomScaleNormal="100" workbookViewId="0">
      <selection activeCell="A19" sqref="A19"/>
    </sheetView>
  </sheetViews>
  <sheetFormatPr baseColWidth="10" defaultColWidth="10" defaultRowHeight="15" x14ac:dyDescent="0.25"/>
  <sheetData>
    <row r="1" spans="1:1" x14ac:dyDescent="0.25">
      <c r="A1" t="s">
        <v>40</v>
      </c>
    </row>
    <row r="3" spans="1:1" x14ac:dyDescent="0.25">
      <c r="A3" t="s">
        <v>41</v>
      </c>
    </row>
    <row r="6" spans="1:1" x14ac:dyDescent="0.25">
      <c r="A6" t="s">
        <v>42</v>
      </c>
    </row>
    <row r="7" spans="1:1" x14ac:dyDescent="0.25">
      <c r="A7" t="s">
        <v>43</v>
      </c>
    </row>
    <row r="8" spans="1:1" x14ac:dyDescent="0.25">
      <c r="A8" t="s">
        <v>44</v>
      </c>
    </row>
    <row r="12" spans="1:1" x14ac:dyDescent="0.25">
      <c r="A12" t="s">
        <v>45</v>
      </c>
    </row>
    <row r="13" spans="1:1" x14ac:dyDescent="0.25">
      <c r="A13" t="s">
        <v>46</v>
      </c>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zoomScaleNormal="100" workbookViewId="0">
      <selection activeCell="A1" sqref="A1"/>
    </sheetView>
  </sheetViews>
  <sheetFormatPr baseColWidth="10" defaultColWidth="11.7109375" defaultRowHeight="15" x14ac:dyDescent="0.25"/>
  <sheetData>
    <row r="1" spans="1:1">
      <c r="A1" t="inlineStr">
        <is>
          <t>Die Todo-Liste steht jetzt in TODO.md im Repo (Ambermoon-Advanced, Branch episode4). Die Punkte dieses Blatts wurden dorthin übernommen.</t>
        </is>
      </c>
    </row>
  </sheetData>
  <pageMargins left="0.7" right="0.7" top="0.78749999999999998" bottom="0.78749999999999998"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55"/>
  <sheetViews>
    <sheetView topLeftCell="A226" zoomScaleNormal="100" workbookViewId="0">
      <selection activeCell="A254" sqref="A254"/>
    </sheetView>
  </sheetViews>
  <sheetFormatPr baseColWidth="10" defaultColWidth="11.7109375" defaultRowHeight="15" x14ac:dyDescent="0.25"/>
  <cols>
    <col min="1" max="1" width="63.42578125" customWidth="1"/>
    <col min="3" max="3" width="8.5703125" customWidth="1"/>
    <col min="4" max="4" width="48" customWidth="1"/>
  </cols>
  <sheetData>
    <row r="1" spans="1:4" x14ac:dyDescent="0.25">
      <c r="A1" t="s">
        <v>128</v>
      </c>
    </row>
    <row r="2" spans="1:4" x14ac:dyDescent="0.25">
      <c r="A2" t="s">
        <v>129</v>
      </c>
    </row>
    <row r="4" spans="1:4" x14ac:dyDescent="0.25">
      <c r="A4" s="5" t="s">
        <v>130</v>
      </c>
      <c r="C4" s="71" t="s">
        <v>131</v>
      </c>
      <c r="D4" s="71"/>
    </row>
    <row r="5" spans="1:4" x14ac:dyDescent="0.25">
      <c r="A5" t="s">
        <v>132</v>
      </c>
      <c r="C5" t="s">
        <v>133</v>
      </c>
      <c r="D5" t="s">
        <v>134</v>
      </c>
    </row>
    <row r="6" spans="1:4" x14ac:dyDescent="0.25">
      <c r="A6" t="s">
        <v>135</v>
      </c>
    </row>
    <row r="7" spans="1:4" x14ac:dyDescent="0.25">
      <c r="A7" t="s">
        <v>136</v>
      </c>
    </row>
    <row r="8" spans="1:4" x14ac:dyDescent="0.25">
      <c r="A8" t="s">
        <v>137</v>
      </c>
    </row>
    <row r="9" spans="1:4" x14ac:dyDescent="0.25">
      <c r="A9" t="s">
        <v>138</v>
      </c>
    </row>
    <row r="10" spans="1:4" x14ac:dyDescent="0.25">
      <c r="A10" t="s">
        <v>139</v>
      </c>
    </row>
    <row r="11" spans="1:4" x14ac:dyDescent="0.25">
      <c r="A11" t="s">
        <v>140</v>
      </c>
      <c r="C11" s="71" t="s">
        <v>141</v>
      </c>
      <c r="D11" s="71"/>
    </row>
    <row r="12" spans="1:4" x14ac:dyDescent="0.25">
      <c r="A12" t="s">
        <v>142</v>
      </c>
      <c r="C12" t="s">
        <v>143</v>
      </c>
    </row>
    <row r="13" spans="1:4" x14ac:dyDescent="0.25">
      <c r="A13" t="s">
        <v>144</v>
      </c>
    </row>
    <row r="14" spans="1:4" x14ac:dyDescent="0.25">
      <c r="A14" t="s">
        <v>145</v>
      </c>
    </row>
    <row r="15" spans="1:4" x14ac:dyDescent="0.25">
      <c r="A15" t="s">
        <v>146</v>
      </c>
    </row>
    <row r="16" spans="1:4" x14ac:dyDescent="0.25">
      <c r="A16" t="s">
        <v>147</v>
      </c>
    </row>
    <row r="17" spans="1:1" x14ac:dyDescent="0.25">
      <c r="A17" t="s">
        <v>148</v>
      </c>
    </row>
    <row r="18" spans="1:1" x14ac:dyDescent="0.25">
      <c r="A18" t="s">
        <v>149</v>
      </c>
    </row>
    <row r="19" spans="1:1" x14ac:dyDescent="0.25">
      <c r="A19" t="s">
        <v>150</v>
      </c>
    </row>
    <row r="20" spans="1:1" x14ac:dyDescent="0.25">
      <c r="A20" t="s">
        <v>151</v>
      </c>
    </row>
    <row r="21" spans="1:1" x14ac:dyDescent="0.25">
      <c r="A21" t="s">
        <v>152</v>
      </c>
    </row>
    <row r="22" spans="1:1" x14ac:dyDescent="0.25">
      <c r="A22" t="s">
        <v>153</v>
      </c>
    </row>
    <row r="23" spans="1:1" x14ac:dyDescent="0.25">
      <c r="A23" t="s">
        <v>154</v>
      </c>
    </row>
    <row r="24" spans="1:1" x14ac:dyDescent="0.25">
      <c r="A24" t="s">
        <v>155</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s="6" t="s">
        <v>169</v>
      </c>
    </row>
    <row r="39" spans="1:1" x14ac:dyDescent="0.25">
      <c r="A39" t="s">
        <v>170</v>
      </c>
    </row>
    <row r="40" spans="1:1" x14ac:dyDescent="0.25">
      <c r="A40" t="s">
        <v>171</v>
      </c>
    </row>
    <row r="41" spans="1:1" x14ac:dyDescent="0.25">
      <c r="A41" t="s">
        <v>172</v>
      </c>
    </row>
    <row r="42" spans="1:1" x14ac:dyDescent="0.25">
      <c r="A42" t="s">
        <v>173</v>
      </c>
    </row>
    <row r="43" spans="1:1" x14ac:dyDescent="0.25">
      <c r="A43" t="s">
        <v>174</v>
      </c>
    </row>
    <row r="44" spans="1:1" x14ac:dyDescent="0.25">
      <c r="A44" t="s">
        <v>175</v>
      </c>
    </row>
    <row r="45" spans="1:1" x14ac:dyDescent="0.25">
      <c r="A45" t="s">
        <v>176</v>
      </c>
    </row>
    <row r="46" spans="1:1" x14ac:dyDescent="0.25">
      <c r="A46" t="s">
        <v>177</v>
      </c>
    </row>
    <row r="47" spans="1:1" x14ac:dyDescent="0.25">
      <c r="A47" t="s">
        <v>178</v>
      </c>
    </row>
    <row r="48" spans="1:1" x14ac:dyDescent="0.25">
      <c r="A48" t="s">
        <v>179</v>
      </c>
    </row>
    <row r="49" spans="1:1" x14ac:dyDescent="0.25">
      <c r="A49" t="s">
        <v>180</v>
      </c>
    </row>
    <row r="50" spans="1:1" x14ac:dyDescent="0.25">
      <c r="A50" t="s">
        <v>181</v>
      </c>
    </row>
    <row r="51" spans="1:1" x14ac:dyDescent="0.25">
      <c r="A51" t="s">
        <v>182</v>
      </c>
    </row>
    <row r="52" spans="1:1" x14ac:dyDescent="0.25">
      <c r="A52" t="s">
        <v>183</v>
      </c>
    </row>
    <row r="53" spans="1:1" x14ac:dyDescent="0.25">
      <c r="A53" t="s">
        <v>184</v>
      </c>
    </row>
    <row r="54" spans="1:1" x14ac:dyDescent="0.25">
      <c r="A54" t="s">
        <v>185</v>
      </c>
    </row>
    <row r="55" spans="1:1" x14ac:dyDescent="0.25">
      <c r="A55" t="s">
        <v>186</v>
      </c>
    </row>
    <row r="56" spans="1:1" x14ac:dyDescent="0.25">
      <c r="A56" t="s">
        <v>187</v>
      </c>
    </row>
    <row r="57" spans="1:1" x14ac:dyDescent="0.25">
      <c r="A57" t="s">
        <v>188</v>
      </c>
    </row>
    <row r="58" spans="1:1" x14ac:dyDescent="0.25">
      <c r="A58" t="s">
        <v>189</v>
      </c>
    </row>
    <row r="59" spans="1:1" x14ac:dyDescent="0.25">
      <c r="A59" t="s">
        <v>190</v>
      </c>
    </row>
    <row r="60" spans="1:1" x14ac:dyDescent="0.25">
      <c r="A60" t="s">
        <v>191</v>
      </c>
    </row>
    <row r="61" spans="1:1" x14ac:dyDescent="0.25">
      <c r="A61" t="s">
        <v>192</v>
      </c>
    </row>
    <row r="62" spans="1:1" x14ac:dyDescent="0.25">
      <c r="A62" t="s">
        <v>193</v>
      </c>
    </row>
    <row r="63" spans="1:1" x14ac:dyDescent="0.25">
      <c r="A63" t="s">
        <v>194</v>
      </c>
    </row>
    <row r="64" spans="1:1" x14ac:dyDescent="0.25">
      <c r="A64" t="s">
        <v>195</v>
      </c>
    </row>
    <row r="65" spans="1:1" x14ac:dyDescent="0.25">
      <c r="A65" t="s">
        <v>196</v>
      </c>
    </row>
    <row r="66" spans="1:1" x14ac:dyDescent="0.25">
      <c r="A66" t="s">
        <v>197</v>
      </c>
    </row>
    <row r="67" spans="1:1" x14ac:dyDescent="0.25">
      <c r="A67" t="s">
        <v>198</v>
      </c>
    </row>
    <row r="68" spans="1:1" x14ac:dyDescent="0.25">
      <c r="A68" s="7" t="s">
        <v>199</v>
      </c>
    </row>
    <row r="69" spans="1:1" x14ac:dyDescent="0.25">
      <c r="A69" t="s">
        <v>200</v>
      </c>
    </row>
    <row r="70" spans="1:1" x14ac:dyDescent="0.25">
      <c r="A70" t="s">
        <v>201</v>
      </c>
    </row>
    <row r="71" spans="1:1" x14ac:dyDescent="0.25">
      <c r="A71" t="s">
        <v>202</v>
      </c>
    </row>
    <row r="72" spans="1:1" x14ac:dyDescent="0.25">
      <c r="A72" t="s">
        <v>203</v>
      </c>
    </row>
    <row r="73" spans="1:1" x14ac:dyDescent="0.25">
      <c r="A73" t="s">
        <v>204</v>
      </c>
    </row>
    <row r="74" spans="1:1" x14ac:dyDescent="0.25">
      <c r="A74" t="s">
        <v>205</v>
      </c>
    </row>
    <row r="75" spans="1:1" x14ac:dyDescent="0.25">
      <c r="A75" t="s">
        <v>206</v>
      </c>
    </row>
    <row r="76" spans="1:1" x14ac:dyDescent="0.25">
      <c r="A76" t="s">
        <v>207</v>
      </c>
    </row>
    <row r="77" spans="1:1" x14ac:dyDescent="0.25">
      <c r="A77" t="s">
        <v>208</v>
      </c>
    </row>
    <row r="78" spans="1:1" x14ac:dyDescent="0.25">
      <c r="A78" t="s">
        <v>209</v>
      </c>
    </row>
    <row r="79" spans="1:1" x14ac:dyDescent="0.25">
      <c r="A79" t="s">
        <v>210</v>
      </c>
    </row>
    <row r="80" spans="1:1" x14ac:dyDescent="0.25">
      <c r="A80" t="s">
        <v>211</v>
      </c>
    </row>
    <row r="81" spans="1:1" x14ac:dyDescent="0.25">
      <c r="A81" t="s">
        <v>212</v>
      </c>
    </row>
    <row r="82" spans="1:1" x14ac:dyDescent="0.25">
      <c r="A82" t="s">
        <v>213</v>
      </c>
    </row>
    <row r="83" spans="1:1" x14ac:dyDescent="0.25">
      <c r="A83" t="s">
        <v>214</v>
      </c>
    </row>
    <row r="84" spans="1:1" x14ac:dyDescent="0.25">
      <c r="A84" t="s">
        <v>215</v>
      </c>
    </row>
    <row r="85" spans="1:1" x14ac:dyDescent="0.25">
      <c r="A85" t="s">
        <v>216</v>
      </c>
    </row>
    <row r="86" spans="1:1" x14ac:dyDescent="0.25">
      <c r="A86" t="s">
        <v>217</v>
      </c>
    </row>
    <row r="87" spans="1:1" x14ac:dyDescent="0.25">
      <c r="A87" t="s">
        <v>218</v>
      </c>
    </row>
    <row r="88" spans="1:1" x14ac:dyDescent="0.25">
      <c r="A88" t="s">
        <v>219</v>
      </c>
    </row>
    <row r="89" spans="1:1" x14ac:dyDescent="0.25">
      <c r="A89" t="s">
        <v>220</v>
      </c>
    </row>
    <row r="90" spans="1:1" x14ac:dyDescent="0.25">
      <c r="A90" t="s">
        <v>221</v>
      </c>
    </row>
    <row r="91" spans="1:1" x14ac:dyDescent="0.25">
      <c r="A91" t="s">
        <v>222</v>
      </c>
    </row>
    <row r="92" spans="1:1" x14ac:dyDescent="0.25">
      <c r="A92" t="s">
        <v>223</v>
      </c>
    </row>
    <row r="93" spans="1:1" x14ac:dyDescent="0.25">
      <c r="A93" t="s">
        <v>224</v>
      </c>
    </row>
    <row r="94" spans="1:1" x14ac:dyDescent="0.25">
      <c r="A94" t="s">
        <v>225</v>
      </c>
    </row>
    <row r="95" spans="1:1" x14ac:dyDescent="0.25">
      <c r="A95" t="s">
        <v>226</v>
      </c>
    </row>
    <row r="96" spans="1:1" x14ac:dyDescent="0.25">
      <c r="A96" t="s">
        <v>227</v>
      </c>
    </row>
    <row r="97" spans="1:1" x14ac:dyDescent="0.25">
      <c r="A97" t="s">
        <v>228</v>
      </c>
    </row>
    <row r="98" spans="1:1" x14ac:dyDescent="0.25">
      <c r="A98" t="s">
        <v>229</v>
      </c>
    </row>
    <row r="99" spans="1:1" x14ac:dyDescent="0.25">
      <c r="A99" t="s">
        <v>230</v>
      </c>
    </row>
    <row r="100" spans="1:1" x14ac:dyDescent="0.25">
      <c r="A100" t="s">
        <v>231</v>
      </c>
    </row>
    <row r="101" spans="1:1" x14ac:dyDescent="0.25">
      <c r="A101" t="s">
        <v>232</v>
      </c>
    </row>
    <row r="102" spans="1:1" x14ac:dyDescent="0.25">
      <c r="A102" t="s">
        <v>233</v>
      </c>
    </row>
    <row r="103" spans="1:1" x14ac:dyDescent="0.25">
      <c r="A103" t="s">
        <v>234</v>
      </c>
    </row>
    <row r="104" spans="1:1" x14ac:dyDescent="0.25">
      <c r="A104" t="s">
        <v>235</v>
      </c>
    </row>
    <row r="105" spans="1:1" x14ac:dyDescent="0.25">
      <c r="A105" t="s">
        <v>236</v>
      </c>
    </row>
    <row r="106" spans="1:1" x14ac:dyDescent="0.25">
      <c r="A106" t="s">
        <v>237</v>
      </c>
    </row>
    <row r="107" spans="1:1" x14ac:dyDescent="0.25">
      <c r="A107" t="s">
        <v>238</v>
      </c>
    </row>
    <row r="108" spans="1:1" x14ac:dyDescent="0.25">
      <c r="A108" t="s">
        <v>239</v>
      </c>
    </row>
    <row r="109" spans="1:1" x14ac:dyDescent="0.25">
      <c r="A109" t="s">
        <v>240</v>
      </c>
    </row>
    <row r="110" spans="1:1" x14ac:dyDescent="0.25">
      <c r="A110" t="s">
        <v>241</v>
      </c>
    </row>
    <row r="111" spans="1:1" x14ac:dyDescent="0.25">
      <c r="A111" t="s">
        <v>242</v>
      </c>
    </row>
    <row r="112" spans="1:1" x14ac:dyDescent="0.25">
      <c r="A112" t="s">
        <v>243</v>
      </c>
    </row>
    <row r="113" spans="1:1" x14ac:dyDescent="0.25">
      <c r="A113" t="s">
        <v>244</v>
      </c>
    </row>
    <row r="114" spans="1:1" x14ac:dyDescent="0.25">
      <c r="A114" t="s">
        <v>245</v>
      </c>
    </row>
    <row r="115" spans="1:1" x14ac:dyDescent="0.25">
      <c r="A115" t="s">
        <v>246</v>
      </c>
    </row>
    <row r="116" spans="1:1" x14ac:dyDescent="0.25">
      <c r="A116" t="s">
        <v>247</v>
      </c>
    </row>
    <row r="117" spans="1:1" x14ac:dyDescent="0.25">
      <c r="A117" t="s">
        <v>248</v>
      </c>
    </row>
    <row r="118" spans="1:1" x14ac:dyDescent="0.25">
      <c r="A118" t="s">
        <v>249</v>
      </c>
    </row>
    <row r="119" spans="1:1" x14ac:dyDescent="0.25">
      <c r="A119" t="s">
        <v>250</v>
      </c>
    </row>
    <row r="120" spans="1:1" x14ac:dyDescent="0.25">
      <c r="A120" t="s">
        <v>251</v>
      </c>
    </row>
    <row r="121" spans="1:1" x14ac:dyDescent="0.25">
      <c r="A121" t="s">
        <v>252</v>
      </c>
    </row>
    <row r="122" spans="1:1" x14ac:dyDescent="0.25">
      <c r="A122" t="s">
        <v>253</v>
      </c>
    </row>
    <row r="123" spans="1:1" x14ac:dyDescent="0.25">
      <c r="A123" t="s">
        <v>254</v>
      </c>
    </row>
    <row r="124" spans="1:1" x14ac:dyDescent="0.25">
      <c r="A124" t="s">
        <v>255</v>
      </c>
    </row>
    <row r="125" spans="1:1" x14ac:dyDescent="0.25">
      <c r="A125" t="s">
        <v>256</v>
      </c>
    </row>
    <row r="126" spans="1:1" x14ac:dyDescent="0.25">
      <c r="A126" t="s">
        <v>257</v>
      </c>
    </row>
    <row r="127" spans="1:1" x14ac:dyDescent="0.25">
      <c r="A127" t="s">
        <v>258</v>
      </c>
    </row>
    <row r="128" spans="1:1" x14ac:dyDescent="0.25">
      <c r="A128" t="s">
        <v>259</v>
      </c>
    </row>
    <row r="129" spans="1:1" x14ac:dyDescent="0.25">
      <c r="A129" t="s">
        <v>260</v>
      </c>
    </row>
    <row r="130" spans="1:1" x14ac:dyDescent="0.25">
      <c r="A130" t="s">
        <v>261</v>
      </c>
    </row>
    <row r="131" spans="1:1" x14ac:dyDescent="0.25">
      <c r="A131" t="s">
        <v>262</v>
      </c>
    </row>
    <row r="132" spans="1:1" x14ac:dyDescent="0.25">
      <c r="A132" t="s">
        <v>263</v>
      </c>
    </row>
    <row r="133" spans="1:1" x14ac:dyDescent="0.25">
      <c r="A133" t="s">
        <v>264</v>
      </c>
    </row>
    <row r="134" spans="1:1" x14ac:dyDescent="0.25">
      <c r="A134" t="s">
        <v>265</v>
      </c>
    </row>
    <row r="135" spans="1:1" x14ac:dyDescent="0.25">
      <c r="A135" t="s">
        <v>266</v>
      </c>
    </row>
    <row r="136" spans="1:1" x14ac:dyDescent="0.25">
      <c r="A136" t="s">
        <v>267</v>
      </c>
    </row>
    <row r="137" spans="1:1" x14ac:dyDescent="0.25">
      <c r="A137" t="s">
        <v>268</v>
      </c>
    </row>
    <row r="138" spans="1:1" x14ac:dyDescent="0.25">
      <c r="A138" t="s">
        <v>269</v>
      </c>
    </row>
    <row r="139" spans="1:1" x14ac:dyDescent="0.25">
      <c r="A139" t="s">
        <v>270</v>
      </c>
    </row>
    <row r="140" spans="1:1" x14ac:dyDescent="0.25">
      <c r="A140" t="s">
        <v>271</v>
      </c>
    </row>
    <row r="141" spans="1:1" x14ac:dyDescent="0.25">
      <c r="A141" t="s">
        <v>272</v>
      </c>
    </row>
    <row r="142" spans="1:1" x14ac:dyDescent="0.25">
      <c r="A142" t="s">
        <v>273</v>
      </c>
    </row>
    <row r="143" spans="1:1" x14ac:dyDescent="0.25">
      <c r="A143" t="s">
        <v>274</v>
      </c>
    </row>
    <row r="144" spans="1:1" x14ac:dyDescent="0.25">
      <c r="A144" t="s">
        <v>275</v>
      </c>
    </row>
    <row r="145" spans="1:1" x14ac:dyDescent="0.25">
      <c r="A145" t="s">
        <v>276</v>
      </c>
    </row>
    <row r="146" spans="1:1" x14ac:dyDescent="0.25">
      <c r="A146" t="s">
        <v>277</v>
      </c>
    </row>
    <row r="147" spans="1:1" x14ac:dyDescent="0.25">
      <c r="A147" t="s">
        <v>278</v>
      </c>
    </row>
    <row r="148" spans="1:1" x14ac:dyDescent="0.25">
      <c r="A148" t="s">
        <v>279</v>
      </c>
    </row>
    <row r="149" spans="1:1" x14ac:dyDescent="0.25">
      <c r="A149" t="s">
        <v>280</v>
      </c>
    </row>
    <row r="150" spans="1:1" x14ac:dyDescent="0.25">
      <c r="A150" t="s">
        <v>281</v>
      </c>
    </row>
    <row r="151" spans="1:1" x14ac:dyDescent="0.25">
      <c r="A151" t="s">
        <v>282</v>
      </c>
    </row>
    <row r="152" spans="1:1" x14ac:dyDescent="0.25">
      <c r="A152" t="s">
        <v>283</v>
      </c>
    </row>
    <row r="153" spans="1:1" x14ac:dyDescent="0.25">
      <c r="A153" t="s">
        <v>284</v>
      </c>
    </row>
    <row r="154" spans="1:1" x14ac:dyDescent="0.25">
      <c r="A154" t="s">
        <v>285</v>
      </c>
    </row>
    <row r="155" spans="1:1" x14ac:dyDescent="0.25">
      <c r="A155" t="s">
        <v>286</v>
      </c>
    </row>
    <row r="156" spans="1:1" x14ac:dyDescent="0.25">
      <c r="A156" t="s">
        <v>287</v>
      </c>
    </row>
    <row r="157" spans="1:1" x14ac:dyDescent="0.25">
      <c r="A157" t="s">
        <v>288</v>
      </c>
    </row>
    <row r="158" spans="1:1" x14ac:dyDescent="0.25">
      <c r="A158" t="s">
        <v>289</v>
      </c>
    </row>
    <row r="159" spans="1:1" x14ac:dyDescent="0.25">
      <c r="A159" t="s">
        <v>290</v>
      </c>
    </row>
    <row r="160" spans="1:1" x14ac:dyDescent="0.25">
      <c r="A160" t="s">
        <v>291</v>
      </c>
    </row>
    <row r="161" spans="1:1" x14ac:dyDescent="0.25">
      <c r="A161" t="s">
        <v>292</v>
      </c>
    </row>
    <row r="162" spans="1:1" x14ac:dyDescent="0.25">
      <c r="A162" t="s">
        <v>293</v>
      </c>
    </row>
    <row r="163" spans="1:1" x14ac:dyDescent="0.25">
      <c r="A163" t="s">
        <v>294</v>
      </c>
    </row>
    <row r="164" spans="1:1" x14ac:dyDescent="0.25">
      <c r="A164" t="s">
        <v>295</v>
      </c>
    </row>
    <row r="165" spans="1:1" x14ac:dyDescent="0.25">
      <c r="A165" s="7" t="s">
        <v>296</v>
      </c>
    </row>
    <row r="166" spans="1:1" x14ac:dyDescent="0.25">
      <c r="A166" t="s">
        <v>297</v>
      </c>
    </row>
    <row r="167" spans="1:1" x14ac:dyDescent="0.25">
      <c r="A167" t="s">
        <v>298</v>
      </c>
    </row>
    <row r="168" spans="1:1" x14ac:dyDescent="0.25">
      <c r="A168" t="s">
        <v>299</v>
      </c>
    </row>
    <row r="169" spans="1:1" x14ac:dyDescent="0.25">
      <c r="A169" t="s">
        <v>300</v>
      </c>
    </row>
    <row r="170" spans="1:1" x14ac:dyDescent="0.25">
      <c r="A170" s="7" t="s">
        <v>301</v>
      </c>
    </row>
    <row r="171" spans="1:1" x14ac:dyDescent="0.25">
      <c r="A171" t="s">
        <v>302</v>
      </c>
    </row>
    <row r="172" spans="1:1" x14ac:dyDescent="0.25">
      <c r="A172" t="s">
        <v>303</v>
      </c>
    </row>
    <row r="173" spans="1:1" x14ac:dyDescent="0.25">
      <c r="A173" t="s">
        <v>304</v>
      </c>
    </row>
    <row r="174" spans="1:1" x14ac:dyDescent="0.25">
      <c r="A174" t="s">
        <v>305</v>
      </c>
    </row>
    <row r="175" spans="1:1" x14ac:dyDescent="0.25">
      <c r="A175" t="s">
        <v>306</v>
      </c>
    </row>
    <row r="176" spans="1:1" x14ac:dyDescent="0.25">
      <c r="A176" t="s">
        <v>307</v>
      </c>
    </row>
    <row r="177" spans="1:1" x14ac:dyDescent="0.25">
      <c r="A177" t="s">
        <v>308</v>
      </c>
    </row>
    <row r="178" spans="1:1" x14ac:dyDescent="0.25">
      <c r="A178" t="s">
        <v>309</v>
      </c>
    </row>
    <row r="179" spans="1:1" x14ac:dyDescent="0.25">
      <c r="A179" t="s">
        <v>310</v>
      </c>
    </row>
    <row r="180" spans="1:1" x14ac:dyDescent="0.25">
      <c r="A180" t="s">
        <v>311</v>
      </c>
    </row>
    <row r="181" spans="1:1" x14ac:dyDescent="0.25">
      <c r="A181" t="s">
        <v>312</v>
      </c>
    </row>
    <row r="182" spans="1:1" x14ac:dyDescent="0.25">
      <c r="A182" t="s">
        <v>313</v>
      </c>
    </row>
    <row r="183" spans="1:1" x14ac:dyDescent="0.25">
      <c r="A183" t="s">
        <v>314</v>
      </c>
    </row>
    <row r="184" spans="1:1" x14ac:dyDescent="0.25">
      <c r="A184" s="7" t="s">
        <v>315</v>
      </c>
    </row>
    <row r="185" spans="1:1" x14ac:dyDescent="0.25">
      <c r="A185" t="s">
        <v>316</v>
      </c>
    </row>
    <row r="186" spans="1:1" x14ac:dyDescent="0.25">
      <c r="A186" t="s">
        <v>317</v>
      </c>
    </row>
    <row r="187" spans="1:1" x14ac:dyDescent="0.25">
      <c r="A187" t="s">
        <v>318</v>
      </c>
    </row>
    <row r="188" spans="1:1" x14ac:dyDescent="0.25">
      <c r="A188" t="s">
        <v>319</v>
      </c>
    </row>
    <row r="189" spans="1:1" x14ac:dyDescent="0.25">
      <c r="A189" s="6" t="s">
        <v>320</v>
      </c>
    </row>
    <row r="190" spans="1:1" x14ac:dyDescent="0.25">
      <c r="A190" t="s">
        <v>321</v>
      </c>
    </row>
    <row r="191" spans="1:1" x14ac:dyDescent="0.25">
      <c r="A191" t="s">
        <v>322</v>
      </c>
    </row>
    <row r="192" spans="1:1" x14ac:dyDescent="0.25">
      <c r="A192" t="s">
        <v>323</v>
      </c>
    </row>
    <row r="193" spans="1:1" x14ac:dyDescent="0.25">
      <c r="A193" t="s">
        <v>324</v>
      </c>
    </row>
    <row r="194" spans="1:1" x14ac:dyDescent="0.25">
      <c r="A194" t="s">
        <v>325</v>
      </c>
    </row>
    <row r="195" spans="1:1" x14ac:dyDescent="0.25">
      <c r="A195" t="s">
        <v>326</v>
      </c>
    </row>
    <row r="196" spans="1:1" x14ac:dyDescent="0.25">
      <c r="A196" t="s">
        <v>327</v>
      </c>
    </row>
    <row r="197" spans="1:1" x14ac:dyDescent="0.25">
      <c r="A197" t="s">
        <v>328</v>
      </c>
    </row>
    <row r="198" spans="1:1" x14ac:dyDescent="0.25">
      <c r="A198" t="s">
        <v>329</v>
      </c>
    </row>
    <row r="199" spans="1:1" x14ac:dyDescent="0.25">
      <c r="A199" t="s">
        <v>330</v>
      </c>
    </row>
    <row r="200" spans="1:1" x14ac:dyDescent="0.25">
      <c r="A200" t="s">
        <v>331</v>
      </c>
    </row>
    <row r="201" spans="1:1" x14ac:dyDescent="0.25">
      <c r="A201" t="s">
        <v>332</v>
      </c>
    </row>
    <row r="202" spans="1:1" x14ac:dyDescent="0.25">
      <c r="A202" t="s">
        <v>333</v>
      </c>
    </row>
    <row r="203" spans="1:1" x14ac:dyDescent="0.25">
      <c r="A203" t="s">
        <v>334</v>
      </c>
    </row>
    <row r="204" spans="1:1" x14ac:dyDescent="0.25">
      <c r="A204" t="s">
        <v>335</v>
      </c>
    </row>
    <row r="205" spans="1:1" x14ac:dyDescent="0.25">
      <c r="A205" t="s">
        <v>336</v>
      </c>
    </row>
    <row r="206" spans="1:1" x14ac:dyDescent="0.25">
      <c r="A206" t="s">
        <v>337</v>
      </c>
    </row>
    <row r="207" spans="1:1" x14ac:dyDescent="0.25">
      <c r="A207" t="s">
        <v>338</v>
      </c>
    </row>
    <row r="208" spans="1:1" x14ac:dyDescent="0.25">
      <c r="A208" t="s">
        <v>339</v>
      </c>
    </row>
    <row r="209" spans="1:1" x14ac:dyDescent="0.25">
      <c r="A209" t="s">
        <v>340</v>
      </c>
    </row>
    <row r="210" spans="1:1" x14ac:dyDescent="0.25">
      <c r="A210" t="s">
        <v>341</v>
      </c>
    </row>
    <row r="211" spans="1:1" x14ac:dyDescent="0.25">
      <c r="A211" t="s">
        <v>342</v>
      </c>
    </row>
    <row r="212" spans="1:1" x14ac:dyDescent="0.25">
      <c r="A212" t="s">
        <v>343</v>
      </c>
    </row>
    <row r="213" spans="1:1" x14ac:dyDescent="0.25">
      <c r="A213" t="s">
        <v>344</v>
      </c>
    </row>
    <row r="214" spans="1:1" x14ac:dyDescent="0.25">
      <c r="A214" t="s">
        <v>345</v>
      </c>
    </row>
    <row r="215" spans="1:1" x14ac:dyDescent="0.25">
      <c r="A215" t="s">
        <v>346</v>
      </c>
    </row>
    <row r="216" spans="1:1" x14ac:dyDescent="0.25">
      <c r="A216" t="s">
        <v>347</v>
      </c>
    </row>
    <row r="217" spans="1:1" x14ac:dyDescent="0.25">
      <c r="A217" t="s">
        <v>348</v>
      </c>
    </row>
    <row r="218" spans="1:1" x14ac:dyDescent="0.25">
      <c r="A218" t="s">
        <v>349</v>
      </c>
    </row>
    <row r="219" spans="1:1" x14ac:dyDescent="0.25">
      <c r="A219" t="s">
        <v>350</v>
      </c>
    </row>
    <row r="220" spans="1:1" x14ac:dyDescent="0.25">
      <c r="A220" t="s">
        <v>351</v>
      </c>
    </row>
    <row r="221" spans="1:1" x14ac:dyDescent="0.25">
      <c r="A221" t="s">
        <v>352</v>
      </c>
    </row>
    <row r="222" spans="1:1" x14ac:dyDescent="0.25">
      <c r="A222" t="s">
        <v>353</v>
      </c>
    </row>
    <row r="223" spans="1:1" x14ac:dyDescent="0.25">
      <c r="A223" t="s">
        <v>354</v>
      </c>
    </row>
    <row r="224" spans="1:1" x14ac:dyDescent="0.25">
      <c r="A224" t="s">
        <v>355</v>
      </c>
    </row>
    <row r="225" spans="1:1" x14ac:dyDescent="0.25">
      <c r="A225" t="s">
        <v>356</v>
      </c>
    </row>
    <row r="226" spans="1:1" x14ac:dyDescent="0.25">
      <c r="A226" t="s">
        <v>357</v>
      </c>
    </row>
    <row r="227" spans="1:1" x14ac:dyDescent="0.25">
      <c r="A227" t="s">
        <v>358</v>
      </c>
    </row>
    <row r="228" spans="1:1" x14ac:dyDescent="0.25">
      <c r="A228" t="s">
        <v>359</v>
      </c>
    </row>
    <row r="229" spans="1:1" x14ac:dyDescent="0.25">
      <c r="A229" t="s">
        <v>360</v>
      </c>
    </row>
    <row r="230" spans="1:1" x14ac:dyDescent="0.25">
      <c r="A230" t="s">
        <v>361</v>
      </c>
    </row>
    <row r="231" spans="1:1" x14ac:dyDescent="0.25">
      <c r="A231" t="s">
        <v>362</v>
      </c>
    </row>
    <row r="232" spans="1:1" x14ac:dyDescent="0.25">
      <c r="A232" t="s">
        <v>363</v>
      </c>
    </row>
    <row r="233" spans="1:1" x14ac:dyDescent="0.25">
      <c r="A233" t="s">
        <v>364</v>
      </c>
    </row>
    <row r="234" spans="1:1" x14ac:dyDescent="0.25">
      <c r="A234" t="s">
        <v>365</v>
      </c>
    </row>
    <row r="235" spans="1:1" x14ac:dyDescent="0.25">
      <c r="A235" t="s">
        <v>366</v>
      </c>
    </row>
    <row r="236" spans="1:1" x14ac:dyDescent="0.25">
      <c r="A236" t="s">
        <v>367</v>
      </c>
    </row>
    <row r="237" spans="1:1" x14ac:dyDescent="0.25">
      <c r="A237" t="s">
        <v>368</v>
      </c>
    </row>
    <row r="238" spans="1:1" x14ac:dyDescent="0.25">
      <c r="A238" t="s">
        <v>369</v>
      </c>
    </row>
    <row r="239" spans="1:1" x14ac:dyDescent="0.25">
      <c r="A239" t="s">
        <v>370</v>
      </c>
    </row>
    <row r="240" spans="1:1" x14ac:dyDescent="0.25">
      <c r="A240" t="s">
        <v>371</v>
      </c>
    </row>
    <row r="241" spans="1:1" x14ac:dyDescent="0.25">
      <c r="A241" t="s">
        <v>372</v>
      </c>
    </row>
    <row r="242" spans="1:1" x14ac:dyDescent="0.25">
      <c r="A242" t="s">
        <v>373</v>
      </c>
    </row>
    <row r="243" spans="1:1" x14ac:dyDescent="0.25">
      <c r="A243" t="s">
        <v>374</v>
      </c>
    </row>
    <row r="244" spans="1:1" x14ac:dyDescent="0.25">
      <c r="A244" t="s">
        <v>375</v>
      </c>
    </row>
    <row r="245" spans="1:1" x14ac:dyDescent="0.25">
      <c r="A245" t="s">
        <v>376</v>
      </c>
    </row>
    <row r="246" spans="1:1" x14ac:dyDescent="0.25">
      <c r="A246" t="s">
        <v>377</v>
      </c>
    </row>
    <row r="247" spans="1:1" x14ac:dyDescent="0.25">
      <c r="A247" t="s">
        <v>378</v>
      </c>
    </row>
    <row r="248" spans="1:1" x14ac:dyDescent="0.25">
      <c r="A248" t="s">
        <v>379</v>
      </c>
    </row>
    <row r="249" spans="1:1" x14ac:dyDescent="0.25">
      <c r="A249" t="s">
        <v>380</v>
      </c>
    </row>
    <row r="250" spans="1:1" x14ac:dyDescent="0.25">
      <c r="A250" t="s">
        <v>381</v>
      </c>
    </row>
    <row r="251" spans="1:1" x14ac:dyDescent="0.25">
      <c r="A251" t="s">
        <v>382</v>
      </c>
    </row>
    <row r="252" spans="1:1" x14ac:dyDescent="0.25">
      <c r="A252" t="s">
        <v>383</v>
      </c>
    </row>
    <row r="253" spans="1:1" x14ac:dyDescent="0.25">
      <c r="A253" t="s">
        <v>384</v>
      </c>
    </row>
    <row r="254">
      <c r="A254" t="inlineStr">
        <is>
          <t xml:space="preserve">471: Bore left the party in Dor Kiredon and works in the mine (shows his 2 chests)</t>
        </is>
      </c>
    </row>
    <row r="255">
      <c r="A255" t="inlineStr">
        <is>
          <t xml:space="preserve">472: Bore in the mine thanked the party (5000 EXP given)</t>
        </is>
      </c>
    </row>
  </sheetData>
  <mergeCells count="2">
    <mergeCell ref="C4:D4"/>
    <mergeCell ref="C11:D11"/>
  </mergeCells>
  <pageMargins left="0.7" right="0.7" top="0.78749999999999998" bottom="0.78749999999999998"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63"/>
  <sheetViews>
    <sheetView topLeftCell="A46" zoomScaleNormal="100" workbookViewId="0">
      <selection activeCell="A64" sqref="A64"/>
    </sheetView>
  </sheetViews>
  <sheetFormatPr baseColWidth="10" defaultColWidth="11.7109375" defaultRowHeight="15" x14ac:dyDescent="0.25"/>
  <cols>
    <col min="1" max="1" width="49" customWidth="1"/>
  </cols>
  <sheetData>
    <row r="1" spans="1:1" x14ac:dyDescent="0.25">
      <c r="A1" t="s">
        <v>385</v>
      </c>
    </row>
    <row r="3" spans="1:1" x14ac:dyDescent="0.25">
      <c r="A3" s="5" t="s">
        <v>386</v>
      </c>
    </row>
    <row r="4" spans="1:1" x14ac:dyDescent="0.25">
      <c r="A4" t="s">
        <v>387</v>
      </c>
    </row>
    <row r="5" spans="1:1" x14ac:dyDescent="0.25">
      <c r="A5" t="s">
        <v>388</v>
      </c>
    </row>
    <row r="6" spans="1:1" x14ac:dyDescent="0.25">
      <c r="A6" t="s">
        <v>389</v>
      </c>
    </row>
    <row r="7" spans="1:1" x14ac:dyDescent="0.25">
      <c r="A7" t="s">
        <v>390</v>
      </c>
    </row>
    <row r="8" spans="1:1" x14ac:dyDescent="0.25">
      <c r="A8" t="s">
        <v>391</v>
      </c>
    </row>
    <row r="9" spans="1:1" x14ac:dyDescent="0.25">
      <c r="A9" t="s">
        <v>392</v>
      </c>
    </row>
    <row r="10" spans="1:1" x14ac:dyDescent="0.25">
      <c r="A10" t="s">
        <v>393</v>
      </c>
    </row>
    <row r="11" spans="1:1" x14ac:dyDescent="0.25">
      <c r="A11" t="s">
        <v>394</v>
      </c>
    </row>
    <row r="12" spans="1:1" x14ac:dyDescent="0.25">
      <c r="A12" t="s">
        <v>395</v>
      </c>
    </row>
    <row r="13" spans="1:1" x14ac:dyDescent="0.25">
      <c r="A13" t="s">
        <v>396</v>
      </c>
    </row>
    <row r="14" spans="1:1" x14ac:dyDescent="0.25">
      <c r="A14" t="s">
        <v>397</v>
      </c>
    </row>
    <row r="15" spans="1:1" x14ac:dyDescent="0.25">
      <c r="A15" t="s">
        <v>398</v>
      </c>
    </row>
    <row r="16" spans="1:1" x14ac:dyDescent="0.25">
      <c r="A16" t="s">
        <v>399</v>
      </c>
    </row>
    <row r="17" spans="1:1" x14ac:dyDescent="0.25">
      <c r="A17" t="s">
        <v>400</v>
      </c>
    </row>
    <row r="18" spans="1:1" x14ac:dyDescent="0.25">
      <c r="A18" t="s">
        <v>401</v>
      </c>
    </row>
    <row r="19" spans="1:1" x14ac:dyDescent="0.25">
      <c r="A19" t="s">
        <v>402</v>
      </c>
    </row>
    <row r="20" spans="1:1" x14ac:dyDescent="0.25">
      <c r="A20" t="s">
        <v>403</v>
      </c>
    </row>
    <row r="21" spans="1:1" x14ac:dyDescent="0.25">
      <c r="A21" t="s">
        <v>404</v>
      </c>
    </row>
    <row r="22" spans="1:1" x14ac:dyDescent="0.25">
      <c r="A22" t="s">
        <v>405</v>
      </c>
    </row>
    <row r="23" spans="1:1" x14ac:dyDescent="0.25">
      <c r="A23" t="s">
        <v>406</v>
      </c>
    </row>
    <row r="24" spans="1:1" x14ac:dyDescent="0.25">
      <c r="A24" t="s">
        <v>407</v>
      </c>
    </row>
    <row r="25" spans="1:1" x14ac:dyDescent="0.25">
      <c r="A25" t="s">
        <v>408</v>
      </c>
    </row>
    <row r="26" spans="1:1" x14ac:dyDescent="0.25">
      <c r="A26" t="s">
        <v>409</v>
      </c>
    </row>
    <row r="27" spans="1:1" x14ac:dyDescent="0.25">
      <c r="A27" t="s">
        <v>410</v>
      </c>
    </row>
    <row r="28" spans="1:1" x14ac:dyDescent="0.25">
      <c r="A28" t="s">
        <v>411</v>
      </c>
    </row>
    <row r="29" spans="1:1" x14ac:dyDescent="0.25">
      <c r="A29" t="s">
        <v>412</v>
      </c>
    </row>
    <row r="30" spans="1:1" x14ac:dyDescent="0.25">
      <c r="A30" t="s">
        <v>413</v>
      </c>
    </row>
    <row r="31" spans="1:1" x14ac:dyDescent="0.25">
      <c r="A31" t="s">
        <v>414</v>
      </c>
    </row>
    <row r="32" spans="1:1" x14ac:dyDescent="0.25">
      <c r="A32" t="s">
        <v>415</v>
      </c>
    </row>
    <row r="33" spans="1:1" x14ac:dyDescent="0.25">
      <c r="A33" t="s">
        <v>416</v>
      </c>
    </row>
    <row r="34" spans="1:1" x14ac:dyDescent="0.25">
      <c r="A34" t="s">
        <v>417</v>
      </c>
    </row>
    <row r="35" spans="1:1" x14ac:dyDescent="0.25">
      <c r="A35" t="s">
        <v>418</v>
      </c>
    </row>
    <row r="36" spans="1:1" x14ac:dyDescent="0.25">
      <c r="A36" t="s">
        <v>419</v>
      </c>
    </row>
    <row r="37" spans="1:1" x14ac:dyDescent="0.25">
      <c r="A37" t="s">
        <v>420</v>
      </c>
    </row>
    <row r="38" spans="1:1" x14ac:dyDescent="0.25">
      <c r="A38" t="s">
        <v>421</v>
      </c>
    </row>
    <row r="39" spans="1:1" x14ac:dyDescent="0.25">
      <c r="A39" t="s">
        <v>422</v>
      </c>
    </row>
    <row r="40" spans="1:1" x14ac:dyDescent="0.25">
      <c r="A40" t="s">
        <v>423</v>
      </c>
    </row>
    <row r="41" spans="1:1" x14ac:dyDescent="0.25">
      <c r="A41" t="s">
        <v>424</v>
      </c>
    </row>
    <row r="42" spans="1:1" x14ac:dyDescent="0.25">
      <c r="A42" t="s">
        <v>425</v>
      </c>
    </row>
    <row r="43" spans="1:1" x14ac:dyDescent="0.25">
      <c r="A43" t="s">
        <v>426</v>
      </c>
    </row>
    <row r="44" spans="1:1" x14ac:dyDescent="0.25">
      <c r="A44" t="s">
        <v>427</v>
      </c>
    </row>
    <row r="45" spans="1:1" x14ac:dyDescent="0.25">
      <c r="A45" t="s">
        <v>428</v>
      </c>
    </row>
    <row r="46" spans="1:1" x14ac:dyDescent="0.25">
      <c r="A46" t="s">
        <v>429</v>
      </c>
    </row>
    <row r="47" spans="1:1" x14ac:dyDescent="0.25">
      <c r="A47" t="s">
        <v>430</v>
      </c>
    </row>
    <row r="48" spans="1:1" x14ac:dyDescent="0.25">
      <c r="A48" t="s">
        <v>431</v>
      </c>
    </row>
    <row r="49" spans="1:1" x14ac:dyDescent="0.25">
      <c r="A49" t="s">
        <v>432</v>
      </c>
    </row>
    <row r="50" spans="1:1" x14ac:dyDescent="0.25">
      <c r="A50" t="s">
        <v>433</v>
      </c>
    </row>
    <row r="51" spans="1:1" x14ac:dyDescent="0.25">
      <c r="A51" t="s">
        <v>434</v>
      </c>
    </row>
    <row r="52" spans="1:1" x14ac:dyDescent="0.25">
      <c r="A52" t="s">
        <v>435</v>
      </c>
    </row>
    <row r="53" spans="1:1" x14ac:dyDescent="0.25">
      <c r="A53" t="s">
        <v>436</v>
      </c>
    </row>
    <row r="54" spans="1:1" x14ac:dyDescent="0.25">
      <c r="A54" t="s">
        <v>437</v>
      </c>
    </row>
    <row r="55" spans="1:1" x14ac:dyDescent="0.25">
      <c r="A55" t="s">
        <v>438</v>
      </c>
    </row>
    <row r="56" spans="1:1" x14ac:dyDescent="0.25">
      <c r="A56" t="s">
        <v>439</v>
      </c>
    </row>
    <row r="57" spans="1:1" x14ac:dyDescent="0.25">
      <c r="A57" t="s">
        <v>440</v>
      </c>
    </row>
    <row r="58" spans="1:1" x14ac:dyDescent="0.25">
      <c r="A58" t="s">
        <v>441</v>
      </c>
    </row>
    <row r="59" spans="1:1" x14ac:dyDescent="0.25">
      <c r="A59" t="s">
        <v>442</v>
      </c>
    </row>
    <row r="60" spans="1:1" x14ac:dyDescent="0.25">
      <c r="A60" t="s">
        <v>443</v>
      </c>
    </row>
    <row r="61" spans="1:1" x14ac:dyDescent="0.25">
      <c r="A61" t="s">
        <v>444</v>
      </c>
    </row>
    <row r="62" spans="1:1" x14ac:dyDescent="0.25">
      <c r="A62" t="s">
        <v>445</v>
      </c>
    </row>
    <row r="63" spans="1:1" x14ac:dyDescent="0.25">
      <c r="A63" t="s">
        <v>446</v>
      </c>
    </row>
  </sheetData>
  <pageMargins left="0.7" right="0.7" top="0.78749999999999998" bottom="0.78749999999999998"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39"/>
  <sheetViews>
    <sheetView topLeftCell="A4" zoomScaleNormal="100" workbookViewId="0">
      <selection activeCell="A30" sqref="A30"/>
    </sheetView>
  </sheetViews>
  <sheetFormatPr baseColWidth="10" defaultColWidth="11.7109375" defaultRowHeight="15" x14ac:dyDescent="0.25"/>
  <cols>
    <col min="1" max="1" width="65.42578125" customWidth="1"/>
  </cols>
  <sheetData>
    <row r="1" spans="1:1" x14ac:dyDescent="0.25">
      <c r="A1" t="s">
        <v>447</v>
      </c>
    </row>
    <row r="3" spans="1:1" x14ac:dyDescent="0.25">
      <c r="A3" s="5" t="s">
        <v>448</v>
      </c>
    </row>
    <row r="4" spans="1:1" x14ac:dyDescent="0.25">
      <c r="A4" t="s">
        <v>449</v>
      </c>
    </row>
    <row r="5" spans="1:1" x14ac:dyDescent="0.25">
      <c r="A5" t="inlineStr">
        <is>
          <t xml:space="preserve">17: Gärtnerei / Gardening Shed (Spannenberg)</t>
        </is>
      </c>
    </row>
    <row r="6" spans="1:1" x14ac:dyDescent="0.25">
      <c r="A6" t="s">
        <v>451</v>
      </c>
    </row>
    <row r="7" spans="1:1" x14ac:dyDescent="0.25">
      <c r="A7" t="s">
        <v>452</v>
      </c>
    </row>
    <row r="8" spans="1:1" x14ac:dyDescent="0.25">
      <c r="A8" t="s">
        <v>453</v>
      </c>
    </row>
    <row r="9" spans="1:1" x14ac:dyDescent="0.25">
      <c r="A9" t="s">
        <v>454</v>
      </c>
    </row>
    <row r="10" spans="1:1" x14ac:dyDescent="0.25">
      <c r="A10" t="s">
        <v>455</v>
      </c>
    </row>
    <row r="11" spans="1:1" x14ac:dyDescent="0.25">
      <c r="A11" t="s">
        <v>456</v>
      </c>
    </row>
    <row r="12" spans="1:1" x14ac:dyDescent="0.25">
      <c r="A12" t="s">
        <v>457</v>
      </c>
    </row>
    <row r="13" spans="1:1" x14ac:dyDescent="0.25">
      <c r="A13" t="s">
        <v>458</v>
      </c>
    </row>
    <row r="14" spans="1:1" x14ac:dyDescent="0.25">
      <c r="A14" t="s">
        <v>459</v>
      </c>
    </row>
    <row r="15" spans="1:1" x14ac:dyDescent="0.25">
      <c r="A15" t="s">
        <v>460</v>
      </c>
    </row>
    <row r="16" spans="1:1" x14ac:dyDescent="0.25">
      <c r="A16" t="s">
        <v>461</v>
      </c>
    </row>
    <row r="17" spans="1:1" x14ac:dyDescent="0.25">
      <c r="A17" t="s">
        <v>462</v>
      </c>
    </row>
    <row r="18" spans="1:1" x14ac:dyDescent="0.25">
      <c r="A18" t="s">
        <v>463</v>
      </c>
    </row>
    <row r="19" spans="1:1" x14ac:dyDescent="0.25">
      <c r="A19" t="s">
        <v>464</v>
      </c>
    </row>
    <row r="20" spans="1:1" x14ac:dyDescent="0.25">
      <c r="A20" t="s">
        <v>465</v>
      </c>
    </row>
    <row r="21" spans="1:1" x14ac:dyDescent="0.25">
      <c r="A21" t="s">
        <v>466</v>
      </c>
    </row>
    <row r="22" spans="1:1" x14ac:dyDescent="0.25">
      <c r="A22" t="s">
        <v>467</v>
      </c>
    </row>
    <row r="23" spans="1:1" x14ac:dyDescent="0.25">
      <c r="A23" t="s">
        <v>468</v>
      </c>
    </row>
    <row r="24" spans="1:1" x14ac:dyDescent="0.25">
      <c r="A24" t="s">
        <v>469</v>
      </c>
    </row>
    <row r="25" spans="1:1" x14ac:dyDescent="0.25">
      <c r="A25" t="s">
        <v>470</v>
      </c>
    </row>
    <row r="26" spans="1:1" x14ac:dyDescent="0.25">
      <c r="A26" t="s">
        <v>471</v>
      </c>
    </row>
    <row r="27" spans="1:1" x14ac:dyDescent="0.25">
      <c r="A27" t="s">
        <v>472</v>
      </c>
    </row>
    <row r="28" spans="1:1" x14ac:dyDescent="0.25">
      <c r="A28" t="inlineStr">
        <is>
          <t xml:space="preserve">101: Weiser / Wise Man (S’Angrila)</t>
        </is>
      </c>
    </row>
    <row r="29" spans="1:1" x14ac:dyDescent="0.25">
      <c r="A29" t="inlineStr">
        <is>
          <t xml:space="preserve">102: Dunkles Haus / Dark House (S’Angrila) – Eingang zum Versteck, (27,24)</t>
        </is>
      </c>
    </row>
    <row r="31" spans="1:1">
      <c r="A31" t="inlineStr">
        <is>
          <t xml:space="preserve">103: Ausgang Süd / South Exit (Dor Grestin) – war 67 (doppelt mit Ausgang im Weinkeller)</t>
        </is>
      </c>
    </row>
    <row r="32" spans="1:1">
      <c r="A32" t="inlineStr">
        <is>
          <t xml:space="preserve">104: Ausgang Nord / North Exit (Dor Grestin) – war 68 (doppelt mit Training im Weinkeller)</t>
        </is>
      </c>
    </row>
    <row r="33" spans="1:1">
      <c r="A33" t="inlineStr">
        <is>
          <t xml:space="preserve">105: Das Nest / The Nest (Dor Grestin) – war 69 (doppelt mit Gildenhändler im Weinkeller)</t>
        </is>
      </c>
    </row>
    <row r="34" spans="1:1">
      <c r="A34" t="inlineStr">
        <is>
          <t xml:space="preserve">106: Lebensmittel / Foodstuffs (Dor Grestin) – war 70 (doppelt mit Stadthaus 1 in Spannenberg)</t>
        </is>
      </c>
    </row>
    <row r="36" spans="1:1">
      <c r="A36" t="inlineStr">
        <is>
          <t xml:space="preserve">Hinweise (14.10.2026):</t>
        </is>
      </c>
    </row>
    <row r="37" spans="1:1">
      <c r="A37" t="inlineStr">
        <is>
          <t xml:space="preserve">- Dor Grestin: Die 4 Goto-Points oben nutzten schon im Original die Bits 67-70 doppelt (Ambermoon #99). Das Original nutzt jetzt 79-82, die in Advanced belegt sind, daher hier 103-106.</t>
        </is>
      </c>
    </row>
    <row r="38" spans="1:1">
      <c r="A38" t="inlineStr">
        <is>
          <t xml:space="preserve">- 17: Gärtnerei / Gardening Shed (Spannenberg, bei (17,23)) nutzte fälschlich Bit 16 (wie Stadtgarten O) und nutzt jetzt 17. In der Binärdatei stand noch der alte Name Parkverwaltung.</t>
        </is>
      </c>
    </row>
    <row r="39" spans="1:1">
      <c r="A39" t="inlineStr">
        <is>
          <t xml:space="preserve">- 101/102: Der Weise hatte in den Daten schon 101 statt wie geplant 102. Das Versteck hat jetzt 102 (Name im Spiel: Dunkles Haus, um nicht zu spoilern). Bit 0 ist wie im Original unbenutzt, ab 107 ist alles frei.</t>
        </is>
      </c>
    </row>
  </sheetData>
  <pageMargins left="0.7" right="0.7" top="0.78749999999999998" bottom="0.78749999999999998"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4"/>
  <sheetViews>
    <sheetView zoomScaleNormal="100" workbookViewId="0">
      <selection activeCell="C16" sqref="C16"/>
    </sheetView>
  </sheetViews>
  <sheetFormatPr baseColWidth="10" defaultColWidth="11.7109375" defaultRowHeight="15" x14ac:dyDescent="0.25"/>
  <cols>
    <col min="3" max="3" width="67.85546875" customWidth="1"/>
  </cols>
  <sheetData>
    <row r="1" spans="1:3" x14ac:dyDescent="0.25">
      <c r="A1" s="8" t="s">
        <v>475</v>
      </c>
      <c r="B1" t="s">
        <v>476</v>
      </c>
      <c r="C1" t="s">
        <v>477</v>
      </c>
    </row>
    <row r="2" spans="1:3" x14ac:dyDescent="0.25">
      <c r="A2">
        <v>2</v>
      </c>
      <c r="B2">
        <v>3</v>
      </c>
      <c r="C2" t="s">
        <v>478</v>
      </c>
    </row>
    <row r="3" spans="1:3" x14ac:dyDescent="0.25">
      <c r="A3">
        <v>4</v>
      </c>
      <c r="B3">
        <v>5</v>
      </c>
      <c r="C3" t="s">
        <v>479</v>
      </c>
    </row>
    <row r="4" spans="1:3" x14ac:dyDescent="0.25">
      <c r="A4">
        <v>4</v>
      </c>
      <c r="B4">
        <v>6</v>
      </c>
      <c r="C4" t="s">
        <v>480</v>
      </c>
    </row>
  </sheetData>
  <pageMargins left="0.7" right="0.7" top="0.78749999999999998" bottom="0.78749999999999998"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57"/>
  <sheetViews>
    <sheetView topLeftCell="A127" zoomScaleNormal="100" workbookViewId="0">
      <selection activeCell="D157" sqref="D157"/>
    </sheetView>
  </sheetViews>
  <sheetFormatPr baseColWidth="10" defaultColWidth="11.7109375" defaultRowHeight="15" x14ac:dyDescent="0.25"/>
  <cols>
    <col min="2" max="2" width="41" customWidth="1"/>
    <col min="3" max="3" width="15.28515625" customWidth="1"/>
    <col min="4" max="4" width="65.85546875" customWidth="1"/>
    <col min="7" max="7" width="16.140625" customWidth="1"/>
  </cols>
  <sheetData>
    <row r="1" spans="1:8" x14ac:dyDescent="0.25">
      <c r="A1" t="s">
        <v>481</v>
      </c>
      <c r="B1" t="s">
        <v>482</v>
      </c>
      <c r="C1" t="s">
        <v>483</v>
      </c>
      <c r="D1" t="s">
        <v>477</v>
      </c>
      <c r="F1" s="69" t="s">
        <v>484</v>
      </c>
      <c r="G1" s="69"/>
      <c r="H1" s="69"/>
    </row>
    <row r="2" spans="1:8" x14ac:dyDescent="0.25">
      <c r="A2">
        <v>403</v>
      </c>
      <c r="B2" t="s">
        <v>485</v>
      </c>
      <c r="C2" t="s">
        <v>486</v>
      </c>
      <c r="D2" t="s">
        <v>487</v>
      </c>
      <c r="F2" t="s">
        <v>481</v>
      </c>
      <c r="G2" t="s">
        <v>482</v>
      </c>
      <c r="H2" t="s">
        <v>488</v>
      </c>
    </row>
    <row r="3" spans="1:8" x14ac:dyDescent="0.25">
      <c r="A3">
        <v>404</v>
      </c>
      <c r="B3" t="s">
        <v>489</v>
      </c>
      <c r="C3" t="s">
        <v>490</v>
      </c>
      <c r="D3" t="s">
        <v>491</v>
      </c>
      <c r="F3">
        <v>249</v>
      </c>
      <c r="G3" t="s">
        <v>492</v>
      </c>
      <c r="H3" t="s">
        <v>493</v>
      </c>
    </row>
    <row r="4" spans="1:8" x14ac:dyDescent="0.25">
      <c r="A4">
        <v>405</v>
      </c>
      <c r="B4" t="s">
        <v>494</v>
      </c>
      <c r="C4" t="s">
        <v>490</v>
      </c>
      <c r="D4" t="s">
        <v>495</v>
      </c>
      <c r="F4">
        <v>251</v>
      </c>
      <c r="G4" t="s">
        <v>496</v>
      </c>
      <c r="H4" t="s">
        <v>497</v>
      </c>
    </row>
    <row r="5" spans="1:8" x14ac:dyDescent="0.25">
      <c r="A5">
        <v>406</v>
      </c>
      <c r="B5" t="s">
        <v>498</v>
      </c>
      <c r="C5" t="s">
        <v>490</v>
      </c>
      <c r="D5" t="s">
        <v>499</v>
      </c>
      <c r="F5">
        <v>254</v>
      </c>
      <c r="G5" t="s">
        <v>500</v>
      </c>
      <c r="H5" t="s">
        <v>501</v>
      </c>
    </row>
    <row r="6" spans="1:8" x14ac:dyDescent="0.25">
      <c r="A6">
        <v>407</v>
      </c>
      <c r="B6" t="s">
        <v>502</v>
      </c>
      <c r="C6" t="s">
        <v>503</v>
      </c>
      <c r="D6" t="s">
        <v>504</v>
      </c>
      <c r="F6">
        <v>186</v>
      </c>
      <c r="G6" t="s">
        <v>505</v>
      </c>
      <c r="H6" t="s">
        <v>506</v>
      </c>
    </row>
    <row r="7" spans="1:8" x14ac:dyDescent="0.25">
      <c r="A7">
        <v>408</v>
      </c>
      <c r="B7" t="s">
        <v>507</v>
      </c>
      <c r="C7" t="s">
        <v>486</v>
      </c>
      <c r="D7" t="s">
        <v>508</v>
      </c>
      <c r="F7">
        <v>187</v>
      </c>
      <c r="G7" t="s">
        <v>509</v>
      </c>
      <c r="H7" t="s">
        <v>506</v>
      </c>
    </row>
    <row r="8" spans="1:8" x14ac:dyDescent="0.25">
      <c r="A8">
        <v>409</v>
      </c>
      <c r="B8" t="s">
        <v>510</v>
      </c>
      <c r="C8" t="s">
        <v>511</v>
      </c>
      <c r="D8" t="s">
        <v>512</v>
      </c>
      <c r="F8">
        <v>196</v>
      </c>
      <c r="G8" t="s">
        <v>513</v>
      </c>
      <c r="H8" t="s">
        <v>506</v>
      </c>
    </row>
    <row r="9" spans="1:8" x14ac:dyDescent="0.25">
      <c r="A9">
        <v>410</v>
      </c>
      <c r="B9" t="s">
        <v>514</v>
      </c>
      <c r="C9" t="s">
        <v>490</v>
      </c>
      <c r="D9" t="s">
        <v>515</v>
      </c>
      <c r="F9">
        <v>201</v>
      </c>
      <c r="G9" t="s">
        <v>516</v>
      </c>
      <c r="H9" t="s">
        <v>506</v>
      </c>
    </row>
    <row r="10" spans="1:8" x14ac:dyDescent="0.25">
      <c r="A10">
        <v>411</v>
      </c>
      <c r="B10" t="s">
        <v>517</v>
      </c>
      <c r="C10" t="s">
        <v>511</v>
      </c>
      <c r="D10" t="s">
        <v>518</v>
      </c>
      <c r="F10">
        <v>232</v>
      </c>
      <c r="G10" t="s">
        <v>519</v>
      </c>
      <c r="H10" t="s">
        <v>520</v>
      </c>
    </row>
    <row r="11" spans="1:8" x14ac:dyDescent="0.25">
      <c r="A11">
        <v>412</v>
      </c>
      <c r="B11" t="s">
        <v>521</v>
      </c>
      <c r="C11" t="s">
        <v>522</v>
      </c>
      <c r="D11" t="s">
        <v>523</v>
      </c>
      <c r="F11">
        <v>251</v>
      </c>
      <c r="G11" t="s">
        <v>524</v>
      </c>
      <c r="H11" t="s">
        <v>506</v>
      </c>
    </row>
    <row r="12" spans="1:8" x14ac:dyDescent="0.25">
      <c r="A12">
        <v>413</v>
      </c>
      <c r="B12" t="s">
        <v>525</v>
      </c>
      <c r="C12" t="s">
        <v>522</v>
      </c>
      <c r="D12" t="s">
        <v>526</v>
      </c>
      <c r="F12">
        <v>276</v>
      </c>
      <c r="G12" t="s">
        <v>527</v>
      </c>
      <c r="H12" t="s">
        <v>528</v>
      </c>
    </row>
    <row r="13" spans="1:8" x14ac:dyDescent="0.25">
      <c r="A13">
        <v>414</v>
      </c>
      <c r="B13" t="s">
        <v>529</v>
      </c>
      <c r="C13" t="s">
        <v>522</v>
      </c>
      <c r="D13" t="s">
        <v>530</v>
      </c>
      <c r="F13">
        <v>313</v>
      </c>
      <c r="G13" t="s">
        <v>531</v>
      </c>
      <c r="H13" t="s">
        <v>532</v>
      </c>
    </row>
    <row r="14" spans="1:8" x14ac:dyDescent="0.25">
      <c r="A14">
        <v>415</v>
      </c>
      <c r="B14" t="s">
        <v>533</v>
      </c>
      <c r="C14" t="s">
        <v>534</v>
      </c>
      <c r="D14" t="s">
        <v>535</v>
      </c>
      <c r="F14">
        <v>298</v>
      </c>
      <c r="G14" t="s">
        <v>536</v>
      </c>
      <c r="H14" t="s">
        <v>528</v>
      </c>
    </row>
    <row r="15" spans="1:8" x14ac:dyDescent="0.25">
      <c r="A15">
        <v>416</v>
      </c>
      <c r="B15" t="s">
        <v>537</v>
      </c>
      <c r="C15" t="s">
        <v>522</v>
      </c>
      <c r="D15" t="s">
        <v>538</v>
      </c>
      <c r="F15">
        <v>233</v>
      </c>
      <c r="G15" t="s">
        <v>539</v>
      </c>
      <c r="H15" t="s">
        <v>540</v>
      </c>
    </row>
    <row r="16" spans="1:8" x14ac:dyDescent="0.25">
      <c r="A16">
        <v>417</v>
      </c>
      <c r="B16" t="s">
        <v>541</v>
      </c>
      <c r="C16" t="s">
        <v>534</v>
      </c>
      <c r="D16" t="s">
        <v>542</v>
      </c>
      <c r="F16">
        <v>203</v>
      </c>
      <c r="G16" t="s">
        <v>543</v>
      </c>
      <c r="H16" t="s">
        <v>544</v>
      </c>
    </row>
    <row r="17" spans="1:8" x14ac:dyDescent="0.25">
      <c r="A17">
        <v>418</v>
      </c>
      <c r="B17" t="s">
        <v>545</v>
      </c>
      <c r="C17" t="s">
        <v>546</v>
      </c>
      <c r="D17" t="s">
        <v>542</v>
      </c>
      <c r="F17">
        <v>202</v>
      </c>
      <c r="G17" t="s">
        <v>547</v>
      </c>
      <c r="H17" t="s">
        <v>548</v>
      </c>
    </row>
    <row r="18" spans="1:8" x14ac:dyDescent="0.25">
      <c r="A18">
        <v>419</v>
      </c>
      <c r="B18" t="s">
        <v>549</v>
      </c>
      <c r="C18" t="s">
        <v>550</v>
      </c>
      <c r="D18" t="s">
        <v>551</v>
      </c>
      <c r="F18">
        <v>204</v>
      </c>
      <c r="G18" t="s">
        <v>552</v>
      </c>
      <c r="H18" t="s">
        <v>553</v>
      </c>
    </row>
    <row r="19" spans="1:8" x14ac:dyDescent="0.25">
      <c r="A19">
        <v>420</v>
      </c>
      <c r="B19" t="s">
        <v>554</v>
      </c>
      <c r="C19" t="s">
        <v>486</v>
      </c>
      <c r="D19" t="s">
        <v>555</v>
      </c>
      <c r="F19">
        <v>323</v>
      </c>
      <c r="G19" t="s">
        <v>556</v>
      </c>
      <c r="H19" t="s">
        <v>557</v>
      </c>
    </row>
    <row r="20" spans="1:8" x14ac:dyDescent="0.25">
      <c r="A20">
        <v>421</v>
      </c>
      <c r="B20" t="s">
        <v>558</v>
      </c>
      <c r="C20" t="s">
        <v>522</v>
      </c>
      <c r="F20">
        <v>293</v>
      </c>
      <c r="G20" t="s">
        <v>559</v>
      </c>
      <c r="H20" t="s">
        <v>560</v>
      </c>
    </row>
    <row r="21" spans="1:8" x14ac:dyDescent="0.25">
      <c r="A21">
        <v>422</v>
      </c>
      <c r="B21" t="s">
        <v>561</v>
      </c>
      <c r="C21" t="s">
        <v>522</v>
      </c>
    </row>
    <row r="22" spans="1:8" x14ac:dyDescent="0.25">
      <c r="A22">
        <v>423</v>
      </c>
      <c r="B22" t="s">
        <v>562</v>
      </c>
      <c r="C22" t="s">
        <v>522</v>
      </c>
    </row>
    <row r="23" spans="1:8" x14ac:dyDescent="0.25">
      <c r="A23">
        <v>424</v>
      </c>
      <c r="B23" t="s">
        <v>563</v>
      </c>
      <c r="C23" t="s">
        <v>522</v>
      </c>
    </row>
    <row r="24" spans="1:8" x14ac:dyDescent="0.25">
      <c r="A24">
        <v>425</v>
      </c>
      <c r="B24" t="s">
        <v>564</v>
      </c>
      <c r="C24" t="s">
        <v>565</v>
      </c>
      <c r="D24" t="s">
        <v>566</v>
      </c>
    </row>
    <row r="25" spans="1:8" x14ac:dyDescent="0.25">
      <c r="A25">
        <v>426</v>
      </c>
      <c r="B25" t="s">
        <v>567</v>
      </c>
      <c r="C25" t="s">
        <v>565</v>
      </c>
      <c r="F25" s="72" t="s">
        <v>568</v>
      </c>
      <c r="G25" s="72"/>
      <c r="H25" s="72"/>
    </row>
    <row r="26" spans="1:8" x14ac:dyDescent="0.25">
      <c r="A26">
        <v>427</v>
      </c>
      <c r="B26" t="s">
        <v>569</v>
      </c>
      <c r="C26" t="s">
        <v>490</v>
      </c>
      <c r="F26" t="s">
        <v>481</v>
      </c>
      <c r="G26" t="s">
        <v>570</v>
      </c>
    </row>
    <row r="27" spans="1:8" x14ac:dyDescent="0.25">
      <c r="A27">
        <v>428</v>
      </c>
      <c r="B27" t="s">
        <v>571</v>
      </c>
      <c r="C27" t="s">
        <v>534</v>
      </c>
      <c r="F27">
        <v>188</v>
      </c>
      <c r="G27" t="s">
        <v>572</v>
      </c>
    </row>
    <row r="28" spans="1:8" x14ac:dyDescent="0.25">
      <c r="A28">
        <v>429</v>
      </c>
      <c r="B28" t="s">
        <v>573</v>
      </c>
      <c r="C28" t="s">
        <v>534</v>
      </c>
      <c r="F28">
        <v>189</v>
      </c>
      <c r="G28" t="s">
        <v>571</v>
      </c>
    </row>
    <row r="29" spans="1:8" x14ac:dyDescent="0.25">
      <c r="A29">
        <v>430</v>
      </c>
      <c r="B29" t="s">
        <v>574</v>
      </c>
      <c r="C29" t="s">
        <v>490</v>
      </c>
      <c r="F29">
        <v>190</v>
      </c>
      <c r="G29" t="s">
        <v>575</v>
      </c>
    </row>
    <row r="30" spans="1:8" x14ac:dyDescent="0.25">
      <c r="A30">
        <v>431</v>
      </c>
      <c r="B30" t="s">
        <v>576</v>
      </c>
      <c r="C30" t="s">
        <v>486</v>
      </c>
      <c r="F30">
        <v>191</v>
      </c>
      <c r="G30" t="s">
        <v>577</v>
      </c>
    </row>
    <row r="31" spans="1:8" x14ac:dyDescent="0.25">
      <c r="A31">
        <v>432</v>
      </c>
      <c r="B31" t="s">
        <v>578</v>
      </c>
      <c r="C31" t="s">
        <v>565</v>
      </c>
      <c r="F31">
        <v>192</v>
      </c>
      <c r="G31" t="s">
        <v>579</v>
      </c>
    </row>
    <row r="32" spans="1:8" x14ac:dyDescent="0.25">
      <c r="A32">
        <v>433</v>
      </c>
      <c r="B32" t="s">
        <v>580</v>
      </c>
      <c r="C32" t="s">
        <v>581</v>
      </c>
      <c r="F32">
        <v>193</v>
      </c>
      <c r="G32" t="s">
        <v>582</v>
      </c>
    </row>
    <row r="33" spans="1:7" x14ac:dyDescent="0.25">
      <c r="A33">
        <v>434</v>
      </c>
      <c r="B33" t="s">
        <v>583</v>
      </c>
      <c r="C33" t="s">
        <v>584</v>
      </c>
      <c r="D33" t="s">
        <v>585</v>
      </c>
      <c r="F33">
        <v>194</v>
      </c>
      <c r="G33" t="s">
        <v>586</v>
      </c>
    </row>
    <row r="34" spans="1:7" x14ac:dyDescent="0.25">
      <c r="A34">
        <v>435</v>
      </c>
      <c r="B34" t="s">
        <v>587</v>
      </c>
      <c r="C34" t="s">
        <v>490</v>
      </c>
      <c r="D34" t="s">
        <v>588</v>
      </c>
      <c r="F34">
        <v>195</v>
      </c>
      <c r="G34" t="s">
        <v>589</v>
      </c>
    </row>
    <row r="35" spans="1:7" x14ac:dyDescent="0.25">
      <c r="A35">
        <v>436</v>
      </c>
      <c r="B35" t="s">
        <v>590</v>
      </c>
      <c r="C35" t="s">
        <v>522</v>
      </c>
      <c r="D35" t="s">
        <v>591</v>
      </c>
      <c r="F35">
        <v>196</v>
      </c>
      <c r="G35" t="s">
        <v>592</v>
      </c>
    </row>
    <row r="36" spans="1:7" x14ac:dyDescent="0.25">
      <c r="A36">
        <v>437</v>
      </c>
      <c r="B36" t="s">
        <v>593</v>
      </c>
      <c r="C36" t="s">
        <v>594</v>
      </c>
      <c r="D36" t="s">
        <v>595</v>
      </c>
      <c r="F36">
        <v>197</v>
      </c>
      <c r="G36" t="s">
        <v>596</v>
      </c>
    </row>
    <row r="37" spans="1:7" x14ac:dyDescent="0.25">
      <c r="A37">
        <v>438</v>
      </c>
      <c r="B37" t="s">
        <v>597</v>
      </c>
      <c r="C37" t="s">
        <v>565</v>
      </c>
      <c r="F37">
        <v>198</v>
      </c>
      <c r="G37" t="s">
        <v>598</v>
      </c>
    </row>
    <row r="38" spans="1:7" x14ac:dyDescent="0.25">
      <c r="A38">
        <v>439</v>
      </c>
      <c r="B38" t="s">
        <v>599</v>
      </c>
      <c r="C38" t="s">
        <v>565</v>
      </c>
      <c r="F38">
        <v>199</v>
      </c>
      <c r="G38" t="s">
        <v>600</v>
      </c>
    </row>
    <row r="39" spans="1:7" x14ac:dyDescent="0.25">
      <c r="A39">
        <v>440</v>
      </c>
      <c r="B39" t="s">
        <v>601</v>
      </c>
      <c r="C39" t="s">
        <v>565</v>
      </c>
      <c r="F39">
        <v>200</v>
      </c>
      <c r="G39" t="s">
        <v>602</v>
      </c>
    </row>
    <row r="40" spans="1:7" x14ac:dyDescent="0.25">
      <c r="A40">
        <v>441</v>
      </c>
      <c r="B40" t="s">
        <v>603</v>
      </c>
      <c r="C40" t="s">
        <v>565</v>
      </c>
      <c r="F40">
        <v>201</v>
      </c>
      <c r="G40" t="s">
        <v>604</v>
      </c>
    </row>
    <row r="41" spans="1:7" x14ac:dyDescent="0.25">
      <c r="A41">
        <v>442</v>
      </c>
      <c r="B41" t="s">
        <v>605</v>
      </c>
      <c r="C41" t="s">
        <v>565</v>
      </c>
      <c r="F41">
        <v>202</v>
      </c>
      <c r="G41" t="s">
        <v>606</v>
      </c>
    </row>
    <row r="42" spans="1:7" x14ac:dyDescent="0.25">
      <c r="A42">
        <v>443</v>
      </c>
      <c r="B42" t="s">
        <v>607</v>
      </c>
      <c r="C42" t="s">
        <v>565</v>
      </c>
      <c r="F42">
        <v>203</v>
      </c>
      <c r="G42" t="s">
        <v>608</v>
      </c>
    </row>
    <row r="43" spans="1:7" x14ac:dyDescent="0.25">
      <c r="A43">
        <v>444</v>
      </c>
      <c r="B43" t="s">
        <v>609</v>
      </c>
      <c r="C43" t="s">
        <v>486</v>
      </c>
      <c r="D43" t="s">
        <v>610</v>
      </c>
      <c r="F43">
        <v>204</v>
      </c>
      <c r="G43" t="s">
        <v>611</v>
      </c>
    </row>
    <row r="44" spans="1:7" x14ac:dyDescent="0.25">
      <c r="A44">
        <v>445</v>
      </c>
      <c r="B44" t="s">
        <v>612</v>
      </c>
      <c r="C44" t="s">
        <v>486</v>
      </c>
      <c r="D44" t="s">
        <v>613</v>
      </c>
      <c r="F44">
        <v>205</v>
      </c>
      <c r="G44" t="s">
        <v>614</v>
      </c>
    </row>
    <row r="45" spans="1:7" x14ac:dyDescent="0.25">
      <c r="A45">
        <v>446</v>
      </c>
      <c r="B45" t="s">
        <v>615</v>
      </c>
      <c r="C45" t="s">
        <v>565</v>
      </c>
      <c r="D45" t="s">
        <v>616</v>
      </c>
      <c r="F45">
        <v>206</v>
      </c>
      <c r="G45" t="s">
        <v>617</v>
      </c>
    </row>
    <row r="46" spans="1:7" x14ac:dyDescent="0.25">
      <c r="A46">
        <v>447</v>
      </c>
      <c r="B46" t="s">
        <v>618</v>
      </c>
      <c r="C46" t="s">
        <v>565</v>
      </c>
      <c r="D46" t="s">
        <v>619</v>
      </c>
      <c r="F46">
        <v>207</v>
      </c>
      <c r="G46" t="s">
        <v>620</v>
      </c>
    </row>
    <row r="47" spans="1:7" x14ac:dyDescent="0.25">
      <c r="A47">
        <v>448</v>
      </c>
      <c r="B47" t="s">
        <v>621</v>
      </c>
      <c r="C47" t="s">
        <v>546</v>
      </c>
      <c r="D47" t="s">
        <v>622</v>
      </c>
      <c r="F47">
        <v>208</v>
      </c>
      <c r="G47" t="s">
        <v>623</v>
      </c>
    </row>
    <row r="48" spans="1:7" x14ac:dyDescent="0.25">
      <c r="A48">
        <v>449</v>
      </c>
      <c r="B48" t="s">
        <v>624</v>
      </c>
      <c r="C48" t="s">
        <v>594</v>
      </c>
      <c r="D48" t="s">
        <v>622</v>
      </c>
      <c r="F48">
        <v>209</v>
      </c>
      <c r="G48" t="s">
        <v>625</v>
      </c>
    </row>
    <row r="49" spans="1:7" x14ac:dyDescent="0.25">
      <c r="A49">
        <v>450</v>
      </c>
      <c r="B49" t="s">
        <v>626</v>
      </c>
      <c r="C49" t="s">
        <v>565</v>
      </c>
      <c r="D49" t="s">
        <v>627</v>
      </c>
      <c r="F49">
        <v>210</v>
      </c>
      <c r="G49" t="s">
        <v>628</v>
      </c>
    </row>
    <row r="50" spans="1:7" x14ac:dyDescent="0.25">
      <c r="A50">
        <v>451</v>
      </c>
      <c r="B50" t="s">
        <v>629</v>
      </c>
      <c r="C50" t="s">
        <v>546</v>
      </c>
      <c r="D50" t="s">
        <v>630</v>
      </c>
      <c r="F50">
        <v>211</v>
      </c>
      <c r="G50" t="s">
        <v>631</v>
      </c>
    </row>
    <row r="51" spans="1:7" x14ac:dyDescent="0.25">
      <c r="A51">
        <v>452</v>
      </c>
      <c r="B51" t="s">
        <v>632</v>
      </c>
      <c r="C51" t="s">
        <v>511</v>
      </c>
      <c r="D51" t="s">
        <v>633</v>
      </c>
      <c r="F51">
        <v>212</v>
      </c>
      <c r="G51" t="s">
        <v>634</v>
      </c>
    </row>
    <row r="52" spans="1:7" x14ac:dyDescent="0.25">
      <c r="A52">
        <v>453</v>
      </c>
      <c r="B52" t="s">
        <v>635</v>
      </c>
      <c r="C52" t="s">
        <v>565</v>
      </c>
      <c r="D52" t="s">
        <v>636</v>
      </c>
      <c r="F52">
        <v>213</v>
      </c>
      <c r="G52" t="s">
        <v>637</v>
      </c>
    </row>
    <row r="53" spans="1:7" x14ac:dyDescent="0.25">
      <c r="A53">
        <v>454</v>
      </c>
      <c r="B53" t="s">
        <v>638</v>
      </c>
      <c r="C53" t="s">
        <v>490</v>
      </c>
      <c r="D53" t="s">
        <v>636</v>
      </c>
      <c r="F53">
        <v>214</v>
      </c>
      <c r="G53" t="s">
        <v>16</v>
      </c>
    </row>
    <row r="54" spans="1:7" x14ac:dyDescent="0.25">
      <c r="A54">
        <v>455</v>
      </c>
      <c r="B54" t="s">
        <v>639</v>
      </c>
      <c r="C54" t="s">
        <v>490</v>
      </c>
      <c r="D54" t="s">
        <v>636</v>
      </c>
      <c r="F54">
        <v>215</v>
      </c>
      <c r="G54" t="s">
        <v>19</v>
      </c>
    </row>
    <row r="55" spans="1:7" x14ac:dyDescent="0.25">
      <c r="A55">
        <v>456</v>
      </c>
      <c r="B55" t="s">
        <v>640</v>
      </c>
      <c r="C55" t="s">
        <v>565</v>
      </c>
      <c r="D55" t="s">
        <v>641</v>
      </c>
      <c r="F55">
        <v>216</v>
      </c>
      <c r="G55" t="s">
        <v>20</v>
      </c>
    </row>
    <row r="56" spans="1:7" x14ac:dyDescent="0.25">
      <c r="A56">
        <v>457</v>
      </c>
      <c r="B56" t="s">
        <v>642</v>
      </c>
      <c r="C56" t="s">
        <v>565</v>
      </c>
      <c r="D56" t="s">
        <v>643</v>
      </c>
      <c r="F56">
        <v>217</v>
      </c>
      <c r="G56" t="s">
        <v>22</v>
      </c>
    </row>
    <row r="57" spans="1:7" x14ac:dyDescent="0.25">
      <c r="A57">
        <v>458</v>
      </c>
      <c r="B57" t="s">
        <v>644</v>
      </c>
      <c r="C57" t="s">
        <v>565</v>
      </c>
      <c r="D57" t="s">
        <v>645</v>
      </c>
      <c r="F57">
        <v>218</v>
      </c>
      <c r="G57" t="s">
        <v>23</v>
      </c>
    </row>
    <row r="58" spans="1:7" x14ac:dyDescent="0.25">
      <c r="A58">
        <v>459</v>
      </c>
      <c r="B58" t="s">
        <v>646</v>
      </c>
      <c r="C58" t="s">
        <v>565</v>
      </c>
      <c r="D58" t="s">
        <v>647</v>
      </c>
      <c r="F58">
        <v>219</v>
      </c>
      <c r="G58" t="s">
        <v>648</v>
      </c>
    </row>
    <row r="59" spans="1:7" x14ac:dyDescent="0.25">
      <c r="A59">
        <v>460</v>
      </c>
      <c r="B59" t="s">
        <v>649</v>
      </c>
      <c r="C59" t="s">
        <v>565</v>
      </c>
      <c r="D59" t="s">
        <v>650</v>
      </c>
      <c r="F59">
        <v>220</v>
      </c>
      <c r="G59" t="s">
        <v>651</v>
      </c>
    </row>
    <row r="60" spans="1:7" x14ac:dyDescent="0.25">
      <c r="A60">
        <v>461</v>
      </c>
      <c r="B60" t="s">
        <v>652</v>
      </c>
      <c r="C60" t="s">
        <v>565</v>
      </c>
      <c r="D60" t="s">
        <v>653</v>
      </c>
      <c r="F60">
        <v>221</v>
      </c>
      <c r="G60" t="s">
        <v>654</v>
      </c>
    </row>
    <row r="61" spans="1:7" x14ac:dyDescent="0.25">
      <c r="A61">
        <v>462</v>
      </c>
      <c r="B61" t="s">
        <v>655</v>
      </c>
      <c r="C61" t="s">
        <v>486</v>
      </c>
      <c r="D61" t="s">
        <v>656</v>
      </c>
      <c r="F61">
        <v>222</v>
      </c>
      <c r="G61" t="s">
        <v>657</v>
      </c>
    </row>
    <row r="62" spans="1:7" x14ac:dyDescent="0.25">
      <c r="A62">
        <v>463</v>
      </c>
      <c r="B62" t="s">
        <v>658</v>
      </c>
      <c r="C62" t="s">
        <v>522</v>
      </c>
      <c r="D62" t="s">
        <v>659</v>
      </c>
      <c r="F62">
        <v>223</v>
      </c>
      <c r="G62" t="s">
        <v>660</v>
      </c>
    </row>
    <row r="63" spans="1:7" x14ac:dyDescent="0.25">
      <c r="A63">
        <v>464</v>
      </c>
      <c r="B63" t="s">
        <v>661</v>
      </c>
      <c r="C63" t="s">
        <v>546</v>
      </c>
      <c r="D63" t="s">
        <v>662</v>
      </c>
      <c r="F63">
        <v>224</v>
      </c>
      <c r="G63" t="s">
        <v>663</v>
      </c>
    </row>
    <row r="64" spans="1:7" x14ac:dyDescent="0.25">
      <c r="A64">
        <v>465</v>
      </c>
      <c r="B64" t="s">
        <v>664</v>
      </c>
      <c r="C64" t="s">
        <v>534</v>
      </c>
      <c r="D64" t="s">
        <v>662</v>
      </c>
      <c r="F64">
        <v>225</v>
      </c>
      <c r="G64" t="s">
        <v>665</v>
      </c>
    </row>
    <row r="65" spans="1:7" x14ac:dyDescent="0.25">
      <c r="A65">
        <v>466</v>
      </c>
      <c r="B65" t="s">
        <v>666</v>
      </c>
      <c r="C65" t="s">
        <v>486</v>
      </c>
      <c r="D65" t="s">
        <v>667</v>
      </c>
      <c r="F65">
        <v>226</v>
      </c>
      <c r="G65" t="s">
        <v>668</v>
      </c>
    </row>
    <row r="66" spans="1:7" x14ac:dyDescent="0.25">
      <c r="A66">
        <v>467</v>
      </c>
      <c r="B66" t="s">
        <v>669</v>
      </c>
      <c r="C66" t="s">
        <v>511</v>
      </c>
      <c r="D66" t="s">
        <v>670</v>
      </c>
      <c r="F66">
        <v>227</v>
      </c>
      <c r="G66" t="s">
        <v>671</v>
      </c>
    </row>
    <row r="67" spans="1:7" x14ac:dyDescent="0.25">
      <c r="A67">
        <v>468</v>
      </c>
      <c r="B67" t="s">
        <v>672</v>
      </c>
      <c r="C67" t="s">
        <v>511</v>
      </c>
      <c r="D67" t="s">
        <v>673</v>
      </c>
      <c r="F67">
        <v>228</v>
      </c>
      <c r="G67" t="s">
        <v>674</v>
      </c>
    </row>
    <row r="68" spans="1:7" x14ac:dyDescent="0.25">
      <c r="A68">
        <v>469</v>
      </c>
      <c r="B68" t="s">
        <v>583</v>
      </c>
      <c r="C68" t="s">
        <v>584</v>
      </c>
      <c r="D68" t="s">
        <v>675</v>
      </c>
      <c r="F68">
        <v>229</v>
      </c>
      <c r="G68" t="s">
        <v>676</v>
      </c>
    </row>
    <row r="69" spans="1:7" x14ac:dyDescent="0.25">
      <c r="A69">
        <v>470</v>
      </c>
      <c r="B69" t="s">
        <v>677</v>
      </c>
      <c r="C69" t="s">
        <v>534</v>
      </c>
      <c r="D69" t="s">
        <v>678</v>
      </c>
      <c r="F69">
        <v>230</v>
      </c>
      <c r="G69" t="s">
        <v>679</v>
      </c>
    </row>
    <row r="70" spans="1:7" x14ac:dyDescent="0.25">
      <c r="A70">
        <v>471</v>
      </c>
      <c r="B70" t="s">
        <v>680</v>
      </c>
      <c r="C70" t="s">
        <v>534</v>
      </c>
      <c r="D70" t="s">
        <v>678</v>
      </c>
      <c r="F70">
        <v>231</v>
      </c>
      <c r="G70" t="s">
        <v>681</v>
      </c>
    </row>
    <row r="71" spans="1:7" x14ac:dyDescent="0.25">
      <c r="A71">
        <v>472</v>
      </c>
      <c r="B71" t="s">
        <v>682</v>
      </c>
      <c r="C71" t="s">
        <v>534</v>
      </c>
      <c r="D71" t="s">
        <v>678</v>
      </c>
      <c r="F71">
        <v>232</v>
      </c>
      <c r="G71" t="s">
        <v>683</v>
      </c>
    </row>
    <row r="72" spans="1:7" x14ac:dyDescent="0.25">
      <c r="A72">
        <v>473</v>
      </c>
      <c r="B72" t="s">
        <v>684</v>
      </c>
      <c r="C72" t="s">
        <v>685</v>
      </c>
      <c r="D72" t="s">
        <v>686</v>
      </c>
      <c r="F72">
        <v>233</v>
      </c>
      <c r="G72" t="s">
        <v>687</v>
      </c>
    </row>
    <row r="73" spans="1:7" x14ac:dyDescent="0.25">
      <c r="A73">
        <v>474</v>
      </c>
      <c r="B73" t="s">
        <v>688</v>
      </c>
      <c r="C73" t="s">
        <v>689</v>
      </c>
      <c r="D73" t="s">
        <v>690</v>
      </c>
      <c r="F73">
        <v>234</v>
      </c>
      <c r="G73" t="s">
        <v>691</v>
      </c>
    </row>
    <row r="74" spans="1:7" x14ac:dyDescent="0.25">
      <c r="A74">
        <v>475</v>
      </c>
      <c r="B74" t="s">
        <v>692</v>
      </c>
      <c r="C74" t="s">
        <v>689</v>
      </c>
      <c r="D74" t="s">
        <v>693</v>
      </c>
      <c r="F74">
        <v>235</v>
      </c>
      <c r="G74" t="s">
        <v>694</v>
      </c>
    </row>
    <row r="75" spans="1:7" x14ac:dyDescent="0.25">
      <c r="A75">
        <v>476</v>
      </c>
      <c r="B75" t="s">
        <v>695</v>
      </c>
      <c r="C75" t="s">
        <v>534</v>
      </c>
      <c r="D75" t="s">
        <v>696</v>
      </c>
      <c r="F75">
        <v>236</v>
      </c>
      <c r="G75" t="s">
        <v>697</v>
      </c>
    </row>
    <row r="76" spans="1:7" x14ac:dyDescent="0.25">
      <c r="A76">
        <v>477</v>
      </c>
      <c r="B76" t="s">
        <v>698</v>
      </c>
      <c r="C76" t="s">
        <v>534</v>
      </c>
      <c r="D76" t="s">
        <v>699</v>
      </c>
      <c r="F76">
        <v>237</v>
      </c>
      <c r="G76" t="s">
        <v>700</v>
      </c>
    </row>
    <row r="77" spans="1:7" x14ac:dyDescent="0.25">
      <c r="A77">
        <v>478</v>
      </c>
      <c r="B77" t="s">
        <v>701</v>
      </c>
      <c r="C77" t="s">
        <v>522</v>
      </c>
      <c r="D77" t="s">
        <v>702</v>
      </c>
      <c r="F77">
        <v>238</v>
      </c>
      <c r="G77" t="s">
        <v>703</v>
      </c>
    </row>
    <row r="78" spans="1:7" x14ac:dyDescent="0.25">
      <c r="A78">
        <v>479</v>
      </c>
      <c r="B78" t="s">
        <v>704</v>
      </c>
      <c r="C78" t="s">
        <v>490</v>
      </c>
      <c r="D78" t="s">
        <v>705</v>
      </c>
      <c r="F78">
        <v>239</v>
      </c>
      <c r="G78" t="s">
        <v>706</v>
      </c>
    </row>
    <row r="79" spans="1:7" x14ac:dyDescent="0.25">
      <c r="A79">
        <v>480</v>
      </c>
      <c r="B79" t="s">
        <v>707</v>
      </c>
      <c r="C79" t="s">
        <v>490</v>
      </c>
      <c r="D79" t="s">
        <v>705</v>
      </c>
      <c r="F79">
        <v>240</v>
      </c>
      <c r="G79" t="s">
        <v>708</v>
      </c>
    </row>
    <row r="80" spans="1:7" x14ac:dyDescent="0.25">
      <c r="A80">
        <v>481</v>
      </c>
      <c r="B80" t="s">
        <v>709</v>
      </c>
      <c r="C80" t="s">
        <v>490</v>
      </c>
      <c r="D80" t="s">
        <v>710</v>
      </c>
      <c r="F80">
        <v>241</v>
      </c>
      <c r="G80" t="s">
        <v>711</v>
      </c>
    </row>
    <row r="81" spans="1:7" x14ac:dyDescent="0.25">
      <c r="A81">
        <v>482</v>
      </c>
      <c r="B81" t="s">
        <v>712</v>
      </c>
      <c r="C81" t="s">
        <v>713</v>
      </c>
      <c r="F81">
        <v>242</v>
      </c>
      <c r="G81" t="s">
        <v>714</v>
      </c>
    </row>
    <row r="82" spans="1:7" x14ac:dyDescent="0.25">
      <c r="A82">
        <v>483</v>
      </c>
      <c r="B82" t="s">
        <v>715</v>
      </c>
      <c r="C82" t="s">
        <v>716</v>
      </c>
      <c r="F82">
        <v>243</v>
      </c>
      <c r="G82" t="s">
        <v>717</v>
      </c>
    </row>
    <row r="83" spans="1:7" x14ac:dyDescent="0.25">
      <c r="A83">
        <v>484</v>
      </c>
      <c r="B83" t="s">
        <v>718</v>
      </c>
      <c r="C83" t="s">
        <v>565</v>
      </c>
      <c r="F83">
        <v>244</v>
      </c>
      <c r="G83" t="s">
        <v>719</v>
      </c>
    </row>
    <row r="84" spans="1:7" x14ac:dyDescent="0.25">
      <c r="A84">
        <v>485</v>
      </c>
      <c r="B84" t="s">
        <v>720</v>
      </c>
      <c r="C84" t="s">
        <v>565</v>
      </c>
      <c r="D84" t="s">
        <v>721</v>
      </c>
      <c r="F84">
        <v>245</v>
      </c>
      <c r="G84" t="s">
        <v>722</v>
      </c>
    </row>
    <row r="85" spans="1:7" x14ac:dyDescent="0.25">
      <c r="A85">
        <v>486</v>
      </c>
      <c r="B85" t="s">
        <v>723</v>
      </c>
      <c r="C85" t="s">
        <v>565</v>
      </c>
      <c r="D85" t="s">
        <v>724</v>
      </c>
      <c r="F85">
        <v>246</v>
      </c>
      <c r="G85" t="s">
        <v>725</v>
      </c>
    </row>
    <row r="86" spans="1:7" x14ac:dyDescent="0.25">
      <c r="A86">
        <v>487</v>
      </c>
      <c r="B86" t="s">
        <v>726</v>
      </c>
      <c r="C86" t="s">
        <v>685</v>
      </c>
      <c r="D86" t="s">
        <v>727</v>
      </c>
      <c r="F86">
        <v>247</v>
      </c>
      <c r="G86" t="s">
        <v>728</v>
      </c>
    </row>
    <row r="87" spans="1:7" x14ac:dyDescent="0.25">
      <c r="A87">
        <v>488</v>
      </c>
      <c r="B87" t="s">
        <v>729</v>
      </c>
      <c r="C87" t="s">
        <v>490</v>
      </c>
      <c r="D87" t="s">
        <v>730</v>
      </c>
      <c r="F87">
        <v>248</v>
      </c>
      <c r="G87" t="s">
        <v>731</v>
      </c>
    </row>
    <row r="88" spans="1:7" x14ac:dyDescent="0.25">
      <c r="A88">
        <v>489</v>
      </c>
      <c r="B88" t="s">
        <v>732</v>
      </c>
      <c r="C88" t="s">
        <v>490</v>
      </c>
      <c r="D88" t="s">
        <v>733</v>
      </c>
      <c r="F88">
        <v>249</v>
      </c>
      <c r="G88" t="s">
        <v>734</v>
      </c>
    </row>
    <row r="89" spans="1:7" x14ac:dyDescent="0.25">
      <c r="A89">
        <v>490</v>
      </c>
      <c r="B89" t="s">
        <v>735</v>
      </c>
      <c r="C89" t="s">
        <v>490</v>
      </c>
      <c r="D89" t="s">
        <v>736</v>
      </c>
      <c r="F89">
        <v>250</v>
      </c>
      <c r="G89" t="s">
        <v>737</v>
      </c>
    </row>
    <row r="90" spans="1:7" x14ac:dyDescent="0.25">
      <c r="A90">
        <v>491</v>
      </c>
      <c r="B90" t="s">
        <v>738</v>
      </c>
      <c r="C90" t="s">
        <v>511</v>
      </c>
      <c r="D90" t="s">
        <v>739</v>
      </c>
      <c r="F90">
        <v>251</v>
      </c>
      <c r="G90" t="s">
        <v>740</v>
      </c>
    </row>
    <row r="91" spans="1:7" x14ac:dyDescent="0.25">
      <c r="A91">
        <v>492</v>
      </c>
      <c r="B91" t="s">
        <v>741</v>
      </c>
      <c r="C91" t="s">
        <v>546</v>
      </c>
      <c r="D91" t="s">
        <v>742</v>
      </c>
      <c r="F91">
        <v>252</v>
      </c>
      <c r="G91" t="s">
        <v>743</v>
      </c>
    </row>
    <row r="92" spans="1:7" x14ac:dyDescent="0.25">
      <c r="A92">
        <v>493</v>
      </c>
      <c r="B92" t="s">
        <v>668</v>
      </c>
      <c r="C92" t="s">
        <v>565</v>
      </c>
      <c r="D92" t="s">
        <v>744</v>
      </c>
      <c r="F92">
        <v>253</v>
      </c>
      <c r="G92" t="s">
        <v>745</v>
      </c>
    </row>
    <row r="93" spans="1:7" x14ac:dyDescent="0.25">
      <c r="A93">
        <v>494</v>
      </c>
      <c r="B93" t="s">
        <v>746</v>
      </c>
      <c r="C93" t="s">
        <v>565</v>
      </c>
      <c r="D93" t="s">
        <v>747</v>
      </c>
      <c r="F93">
        <v>254</v>
      </c>
      <c r="G93" t="s">
        <v>748</v>
      </c>
    </row>
    <row r="94" spans="1:7" x14ac:dyDescent="0.25">
      <c r="A94">
        <v>495</v>
      </c>
      <c r="B94" t="s">
        <v>749</v>
      </c>
      <c r="C94" t="s">
        <v>511</v>
      </c>
      <c r="D94" t="s">
        <v>750</v>
      </c>
      <c r="F94">
        <v>255</v>
      </c>
      <c r="G94" t="s">
        <v>751</v>
      </c>
    </row>
    <row r="95" spans="1:7" x14ac:dyDescent="0.25">
      <c r="A95">
        <v>496</v>
      </c>
      <c r="B95" t="s">
        <v>752</v>
      </c>
      <c r="C95" t="s">
        <v>753</v>
      </c>
      <c r="D95" t="s">
        <v>754</v>
      </c>
      <c r="F95">
        <v>256</v>
      </c>
      <c r="G95" t="s">
        <v>755</v>
      </c>
    </row>
    <row r="96" spans="1:7" x14ac:dyDescent="0.25">
      <c r="A96">
        <v>497</v>
      </c>
      <c r="B96" t="s">
        <v>756</v>
      </c>
      <c r="C96" t="s">
        <v>584</v>
      </c>
      <c r="D96" t="s">
        <v>757</v>
      </c>
      <c r="F96">
        <v>257</v>
      </c>
      <c r="G96" t="s">
        <v>758</v>
      </c>
    </row>
    <row r="97" spans="1:4" x14ac:dyDescent="0.25">
      <c r="A97">
        <v>498</v>
      </c>
      <c r="B97" t="s">
        <v>759</v>
      </c>
      <c r="C97" t="s">
        <v>550</v>
      </c>
      <c r="D97" t="s">
        <v>760</v>
      </c>
    </row>
    <row r="98" spans="1:4" x14ac:dyDescent="0.25">
      <c r="A98">
        <v>499</v>
      </c>
      <c r="B98" t="s">
        <v>761</v>
      </c>
      <c r="C98" t="s">
        <v>713</v>
      </c>
    </row>
    <row r="99" spans="1:4" x14ac:dyDescent="0.25">
      <c r="A99">
        <v>500</v>
      </c>
      <c r="B99" t="s">
        <v>762</v>
      </c>
      <c r="C99" t="s">
        <v>713</v>
      </c>
    </row>
    <row r="100" spans="1:4" x14ac:dyDescent="0.25">
      <c r="A100">
        <v>501</v>
      </c>
      <c r="B100" t="s">
        <v>763</v>
      </c>
      <c r="C100" t="s">
        <v>713</v>
      </c>
    </row>
    <row r="101" spans="1:4" x14ac:dyDescent="0.25">
      <c r="A101">
        <v>502</v>
      </c>
      <c r="B101" t="s">
        <v>764</v>
      </c>
      <c r="C101" t="s">
        <v>713</v>
      </c>
    </row>
    <row r="102" spans="1:4" x14ac:dyDescent="0.25">
      <c r="A102">
        <v>503</v>
      </c>
      <c r="B102" t="s">
        <v>765</v>
      </c>
      <c r="C102" t="s">
        <v>713</v>
      </c>
    </row>
    <row r="103" spans="1:4" x14ac:dyDescent="0.25">
      <c r="A103">
        <v>504</v>
      </c>
      <c r="B103" t="s">
        <v>766</v>
      </c>
      <c r="C103" t="s">
        <v>713</v>
      </c>
    </row>
    <row r="104" spans="1:4" x14ac:dyDescent="0.25">
      <c r="A104">
        <v>505</v>
      </c>
      <c r="B104" t="s">
        <v>767</v>
      </c>
      <c r="C104" t="s">
        <v>713</v>
      </c>
    </row>
    <row r="105" spans="1:4" x14ac:dyDescent="0.25">
      <c r="A105">
        <v>506</v>
      </c>
      <c r="B105" t="s">
        <v>768</v>
      </c>
      <c r="C105" t="s">
        <v>713</v>
      </c>
    </row>
    <row r="106" spans="1:4" x14ac:dyDescent="0.25">
      <c r="A106">
        <v>507</v>
      </c>
      <c r="B106" t="s">
        <v>769</v>
      </c>
      <c r="C106" t="s">
        <v>753</v>
      </c>
    </row>
    <row r="107" spans="1:4" x14ac:dyDescent="0.25">
      <c r="A107">
        <v>508</v>
      </c>
      <c r="B107" t="s">
        <v>770</v>
      </c>
      <c r="C107" t="s">
        <v>753</v>
      </c>
    </row>
    <row r="108" spans="1:4" x14ac:dyDescent="0.25">
      <c r="A108">
        <v>509</v>
      </c>
      <c r="B108" t="s">
        <v>771</v>
      </c>
      <c r="C108" t="s">
        <v>522</v>
      </c>
    </row>
    <row r="109" spans="1:4" x14ac:dyDescent="0.25">
      <c r="A109">
        <v>510</v>
      </c>
      <c r="B109" t="s">
        <v>772</v>
      </c>
      <c r="C109" t="s">
        <v>522</v>
      </c>
    </row>
    <row r="110" spans="1:4" x14ac:dyDescent="0.25">
      <c r="A110">
        <v>511</v>
      </c>
      <c r="B110" t="s">
        <v>773</v>
      </c>
      <c r="C110" t="s">
        <v>581</v>
      </c>
    </row>
    <row r="111" spans="1:4" x14ac:dyDescent="0.25">
      <c r="A111">
        <v>512</v>
      </c>
      <c r="B111" t="s">
        <v>774</v>
      </c>
      <c r="C111" t="s">
        <v>522</v>
      </c>
    </row>
    <row r="112" spans="1:4" x14ac:dyDescent="0.25">
      <c r="A112">
        <v>513</v>
      </c>
      <c r="B112" t="s">
        <v>775</v>
      </c>
      <c r="C112" t="s">
        <v>546</v>
      </c>
    </row>
    <row r="113" spans="1:4" x14ac:dyDescent="0.25">
      <c r="A113">
        <v>514</v>
      </c>
      <c r="B113" t="s">
        <v>776</v>
      </c>
      <c r="C113" t="s">
        <v>777</v>
      </c>
    </row>
    <row r="114" spans="1:4" x14ac:dyDescent="0.25">
      <c r="A114">
        <v>515</v>
      </c>
      <c r="B114" t="s">
        <v>778</v>
      </c>
      <c r="C114" t="s">
        <v>777</v>
      </c>
    </row>
    <row r="115" spans="1:4" x14ac:dyDescent="0.25">
      <c r="A115">
        <v>516</v>
      </c>
      <c r="B115" t="s">
        <v>779</v>
      </c>
      <c r="C115" t="s">
        <v>777</v>
      </c>
    </row>
    <row r="116" spans="1:4" x14ac:dyDescent="0.25">
      <c r="A116">
        <v>517</v>
      </c>
      <c r="B116" t="s">
        <v>780</v>
      </c>
      <c r="C116" t="s">
        <v>777</v>
      </c>
    </row>
    <row r="117" spans="1:4" x14ac:dyDescent="0.25">
      <c r="A117">
        <v>518</v>
      </c>
      <c r="B117" t="s">
        <v>781</v>
      </c>
      <c r="C117" t="s">
        <v>777</v>
      </c>
    </row>
    <row r="118" spans="1:4" x14ac:dyDescent="0.25">
      <c r="A118">
        <v>519</v>
      </c>
      <c r="B118" t="s">
        <v>782</v>
      </c>
      <c r="C118" t="s">
        <v>753</v>
      </c>
    </row>
    <row r="119" spans="1:4" x14ac:dyDescent="0.25">
      <c r="A119">
        <v>520</v>
      </c>
      <c r="B119" t="s">
        <v>783</v>
      </c>
      <c r="C119" t="s">
        <v>503</v>
      </c>
    </row>
    <row r="120" spans="1:4" x14ac:dyDescent="0.25">
      <c r="A120">
        <v>521</v>
      </c>
      <c r="B120" t="s">
        <v>784</v>
      </c>
      <c r="C120" t="s">
        <v>503</v>
      </c>
    </row>
    <row r="121" spans="1:4" x14ac:dyDescent="0.25">
      <c r="A121">
        <v>522</v>
      </c>
      <c r="B121" t="s">
        <v>785</v>
      </c>
      <c r="C121" t="s">
        <v>503</v>
      </c>
      <c r="D121" t="s">
        <v>786</v>
      </c>
    </row>
    <row r="122" spans="1:4" x14ac:dyDescent="0.25">
      <c r="A122">
        <v>523</v>
      </c>
      <c r="B122" t="s">
        <v>787</v>
      </c>
      <c r="C122" t="s">
        <v>788</v>
      </c>
      <c r="D122" t="s">
        <v>789</v>
      </c>
    </row>
    <row r="123" spans="1:4" x14ac:dyDescent="0.25">
      <c r="A123">
        <v>524</v>
      </c>
      <c r="B123" t="s">
        <v>790</v>
      </c>
      <c r="C123" t="s">
        <v>546</v>
      </c>
      <c r="D123" t="s">
        <v>791</v>
      </c>
    </row>
    <row r="124" spans="1:4" x14ac:dyDescent="0.25">
      <c r="A124">
        <v>525</v>
      </c>
      <c r="B124" t="s">
        <v>792</v>
      </c>
      <c r="C124" t="s">
        <v>713</v>
      </c>
    </row>
    <row r="125" spans="1:4" x14ac:dyDescent="0.25">
      <c r="A125">
        <v>526</v>
      </c>
      <c r="B125" t="s">
        <v>793</v>
      </c>
      <c r="C125" t="s">
        <v>713</v>
      </c>
    </row>
    <row r="126" spans="1:4" x14ac:dyDescent="0.25">
      <c r="A126">
        <v>527</v>
      </c>
      <c r="B126" t="s">
        <v>794</v>
      </c>
      <c r="C126" t="s">
        <v>713</v>
      </c>
    </row>
    <row r="127" spans="1:4" x14ac:dyDescent="0.25">
      <c r="A127">
        <v>528</v>
      </c>
      <c r="B127" t="s">
        <v>795</v>
      </c>
      <c r="C127" t="s">
        <v>713</v>
      </c>
    </row>
    <row r="128" spans="1:4" x14ac:dyDescent="0.25">
      <c r="A128">
        <v>529</v>
      </c>
      <c r="B128" t="s">
        <v>796</v>
      </c>
      <c r="C128" t="s">
        <v>797</v>
      </c>
    </row>
    <row r="129" spans="1:4" x14ac:dyDescent="0.25">
      <c r="A129">
        <v>530</v>
      </c>
      <c r="B129" t="s">
        <v>798</v>
      </c>
      <c r="C129" t="s">
        <v>797</v>
      </c>
    </row>
    <row r="130" spans="1:4" x14ac:dyDescent="0.25">
      <c r="A130">
        <v>531</v>
      </c>
      <c r="B130" t="s">
        <v>799</v>
      </c>
      <c r="C130" t="s">
        <v>522</v>
      </c>
    </row>
    <row r="131" spans="1:4" x14ac:dyDescent="0.25">
      <c r="A131">
        <v>532</v>
      </c>
      <c r="B131" t="s">
        <v>800</v>
      </c>
      <c r="C131" t="s">
        <v>534</v>
      </c>
    </row>
    <row r="132" spans="1:4" x14ac:dyDescent="0.25">
      <c r="A132">
        <v>533</v>
      </c>
      <c r="B132" t="s">
        <v>801</v>
      </c>
      <c r="C132" t="s">
        <v>522</v>
      </c>
    </row>
    <row r="133" spans="1:4" x14ac:dyDescent="0.25">
      <c r="A133">
        <v>534</v>
      </c>
      <c r="B133" t="s">
        <v>802</v>
      </c>
      <c r="C133" t="s">
        <v>503</v>
      </c>
    </row>
    <row r="134" spans="1:4" x14ac:dyDescent="0.25">
      <c r="A134">
        <v>535</v>
      </c>
      <c r="B134" t="s">
        <v>803</v>
      </c>
      <c r="C134" t="s">
        <v>522</v>
      </c>
    </row>
    <row r="135" spans="1:4" x14ac:dyDescent="0.25">
      <c r="A135">
        <v>536</v>
      </c>
      <c r="B135" t="s">
        <v>804</v>
      </c>
      <c r="C135" t="s">
        <v>581</v>
      </c>
      <c r="D135" t="s">
        <v>805</v>
      </c>
    </row>
    <row r="136" spans="1:4" x14ac:dyDescent="0.25">
      <c r="A136">
        <v>537</v>
      </c>
      <c r="B136" s="9" t="s">
        <v>806</v>
      </c>
      <c r="C136" t="s">
        <v>807</v>
      </c>
      <c r="D136" t="s">
        <v>808</v>
      </c>
    </row>
    <row r="137" spans="1:4" x14ac:dyDescent="0.25">
      <c r="A137">
        <v>538</v>
      </c>
      <c r="B137" s="9" t="s">
        <v>809</v>
      </c>
      <c r="C137" t="s">
        <v>534</v>
      </c>
    </row>
    <row r="138" spans="1:4" x14ac:dyDescent="0.25">
      <c r="A138">
        <v>539</v>
      </c>
      <c r="B138" t="s">
        <v>810</v>
      </c>
      <c r="C138" t="s">
        <v>811</v>
      </c>
    </row>
    <row r="139" spans="1:4" x14ac:dyDescent="0.25">
      <c r="A139">
        <v>540</v>
      </c>
      <c r="B139" t="s">
        <v>812</v>
      </c>
      <c r="C139" t="s">
        <v>594</v>
      </c>
    </row>
    <row r="140" spans="1:4" x14ac:dyDescent="0.25">
      <c r="A140">
        <v>541</v>
      </c>
      <c r="B140" t="s">
        <v>813</v>
      </c>
      <c r="C140" t="s">
        <v>814</v>
      </c>
    </row>
    <row r="141" spans="1:4" x14ac:dyDescent="0.25">
      <c r="A141">
        <v>542</v>
      </c>
      <c r="B141" t="s">
        <v>815</v>
      </c>
      <c r="C141" t="s">
        <v>777</v>
      </c>
    </row>
    <row r="142" spans="1:4" x14ac:dyDescent="0.25">
      <c r="A142">
        <v>543</v>
      </c>
      <c r="B142" t="s">
        <v>816</v>
      </c>
      <c r="C142" t="s">
        <v>522</v>
      </c>
    </row>
    <row r="143" spans="1:4" x14ac:dyDescent="0.25">
      <c r="A143">
        <v>544</v>
      </c>
      <c r="B143" t="s">
        <v>817</v>
      </c>
      <c r="C143" t="s">
        <v>753</v>
      </c>
    </row>
    <row r="144" spans="1:4" x14ac:dyDescent="0.25">
      <c r="A144">
        <v>545</v>
      </c>
      <c r="B144" t="s">
        <v>818</v>
      </c>
      <c r="C144" t="s">
        <v>565</v>
      </c>
      <c r="D144" t="s">
        <v>819</v>
      </c>
    </row>
    <row r="145" spans="1:4" x14ac:dyDescent="0.25">
      <c r="A145">
        <v>546</v>
      </c>
      <c r="B145" t="s">
        <v>820</v>
      </c>
      <c r="C145" t="s">
        <v>753</v>
      </c>
      <c r="D145" t="s">
        <v>821</v>
      </c>
    </row>
    <row r="146" spans="1:4" x14ac:dyDescent="0.25">
      <c r="A146">
        <v>547</v>
      </c>
      <c r="B146" t="s">
        <v>822</v>
      </c>
      <c r="C146" t="s">
        <v>522</v>
      </c>
    </row>
    <row r="147" spans="1:4" x14ac:dyDescent="0.25">
      <c r="A147">
        <v>548</v>
      </c>
      <c r="B147" t="s">
        <v>823</v>
      </c>
      <c r="C147" t="s">
        <v>522</v>
      </c>
    </row>
    <row r="148" spans="1:4" x14ac:dyDescent="0.25">
      <c r="A148">
        <v>549</v>
      </c>
      <c r="B148" t="s">
        <v>824</v>
      </c>
      <c r="C148" t="s">
        <v>522</v>
      </c>
    </row>
    <row r="149" spans="1:4" x14ac:dyDescent="0.25">
      <c r="A149">
        <v>550</v>
      </c>
      <c r="B149" t="s">
        <v>825</v>
      </c>
      <c r="C149" t="s">
        <v>522</v>
      </c>
    </row>
    <row r="150" spans="1:4" x14ac:dyDescent="0.25">
      <c r="A150">
        <v>551</v>
      </c>
      <c r="B150" t="s">
        <v>826</v>
      </c>
      <c r="C150" t="s">
        <v>490</v>
      </c>
    </row>
    <row r="151" spans="1:4" x14ac:dyDescent="0.25">
      <c r="A151">
        <v>552</v>
      </c>
      <c r="B151" t="s">
        <v>827</v>
      </c>
      <c r="C151" t="s">
        <v>490</v>
      </c>
    </row>
    <row r="152" spans="1:4" x14ac:dyDescent="0.25">
      <c r="A152">
        <v>553</v>
      </c>
      <c r="B152" t="s">
        <v>828</v>
      </c>
      <c r="C152" t="s">
        <v>490</v>
      </c>
    </row>
    <row r="153" spans="1:4" x14ac:dyDescent="0.25">
      <c r="A153">
        <v>554</v>
      </c>
      <c r="B153" t="s">
        <v>829</v>
      </c>
      <c r="C153" t="s">
        <v>490</v>
      </c>
    </row>
    <row r="154" spans="1:4" x14ac:dyDescent="0.25">
      <c r="A154">
        <v>555</v>
      </c>
      <c r="B154" t="s">
        <v>830</v>
      </c>
      <c r="C154" t="s">
        <v>490</v>
      </c>
    </row>
    <row r="155" spans="1:4" x14ac:dyDescent="0.25">
      <c r="A155">
        <v>556</v>
      </c>
      <c r="B155" t="s">
        <v>831</v>
      </c>
      <c r="C155" t="s">
        <v>534</v>
      </c>
    </row>
    <row r="156" spans="1:4" x14ac:dyDescent="0.25">
      <c r="A156">
        <v>557</v>
      </c>
      <c r="B156" t="s">
        <v>832</v>
      </c>
      <c r="C156" t="s">
        <v>534</v>
      </c>
    </row>
    <row r="157" spans="1:4" x14ac:dyDescent="0.25">
      <c r="A157">
        <v>558</v>
      </c>
      <c r="B157" t="s">
        <v>833</v>
      </c>
      <c r="C157" t="s">
        <v>777</v>
      </c>
    </row>
  </sheetData>
  <mergeCells count="2">
    <mergeCell ref="F1:H1"/>
    <mergeCell ref="F25:H25"/>
  </mergeCells>
  <pageMargins left="0.7" right="0.7" top="0.78749999999999998" bottom="0.78749999999999998"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72"/>
  <sheetViews>
    <sheetView topLeftCell="A40" zoomScaleNormal="100" workbookViewId="0">
      <selection activeCell="B61" sqref="B61"/>
    </sheetView>
  </sheetViews>
  <sheetFormatPr baseColWidth="10" defaultColWidth="11.7109375" defaultRowHeight="15" x14ac:dyDescent="0.25"/>
  <cols>
    <col min="1" max="1" width="16.140625" customWidth="1"/>
    <col min="2" max="2" width="35.28515625" customWidth="1"/>
    <col min="3" max="3" width="26.42578125" customWidth="1"/>
    <col min="9" max="9" width="53.140625" customWidth="1"/>
    <col min="10" max="10" width="22.42578125" customWidth="1"/>
    <col min="13" max="13" width="3.7109375" customWidth="1"/>
    <col min="15" max="15" width="15" customWidth="1"/>
  </cols>
  <sheetData>
    <row r="1" spans="1:16" x14ac:dyDescent="0.25">
      <c r="A1" t="s">
        <v>834</v>
      </c>
      <c r="B1" t="s">
        <v>482</v>
      </c>
      <c r="C1" t="s">
        <v>477</v>
      </c>
      <c r="H1" t="s">
        <v>835</v>
      </c>
      <c r="I1" t="s">
        <v>482</v>
      </c>
      <c r="J1" t="s">
        <v>477</v>
      </c>
      <c r="N1" s="73" t="s">
        <v>836</v>
      </c>
      <c r="O1" s="73"/>
      <c r="P1" s="73"/>
    </row>
    <row r="2" spans="1:16" x14ac:dyDescent="0.25">
      <c r="A2">
        <v>50</v>
      </c>
      <c r="B2" t="s">
        <v>837</v>
      </c>
      <c r="C2" t="s">
        <v>838</v>
      </c>
      <c r="H2">
        <v>87</v>
      </c>
      <c r="I2" t="s">
        <v>837</v>
      </c>
      <c r="J2" t="s">
        <v>838</v>
      </c>
      <c r="N2" t="s">
        <v>834</v>
      </c>
      <c r="O2" t="s">
        <v>482</v>
      </c>
      <c r="P2" t="s">
        <v>488</v>
      </c>
    </row>
    <row r="3" spans="1:16" x14ac:dyDescent="0.25">
      <c r="A3">
        <v>58</v>
      </c>
      <c r="B3" t="s">
        <v>839</v>
      </c>
      <c r="C3" t="s">
        <v>840</v>
      </c>
      <c r="H3">
        <v>88</v>
      </c>
      <c r="I3" t="s">
        <v>841</v>
      </c>
      <c r="N3">
        <v>19</v>
      </c>
      <c r="O3" t="s">
        <v>842</v>
      </c>
      <c r="P3" t="s">
        <v>843</v>
      </c>
    </row>
    <row r="4" spans="1:16" x14ac:dyDescent="0.25">
      <c r="A4">
        <v>59</v>
      </c>
      <c r="B4" t="s">
        <v>844</v>
      </c>
      <c r="C4" t="s">
        <v>845</v>
      </c>
      <c r="H4">
        <v>89</v>
      </c>
      <c r="I4" t="s">
        <v>846</v>
      </c>
      <c r="N4">
        <v>21</v>
      </c>
      <c r="O4" t="s">
        <v>847</v>
      </c>
      <c r="P4" t="s">
        <v>848</v>
      </c>
    </row>
    <row r="5" spans="1:16" x14ac:dyDescent="0.25">
      <c r="A5">
        <v>60</v>
      </c>
      <c r="B5" t="s">
        <v>849</v>
      </c>
      <c r="C5" t="s">
        <v>845</v>
      </c>
      <c r="H5">
        <v>90</v>
      </c>
      <c r="I5" t="s">
        <v>850</v>
      </c>
    </row>
    <row r="6" spans="1:16" x14ac:dyDescent="0.25">
      <c r="A6">
        <v>61</v>
      </c>
      <c r="B6" t="s">
        <v>851</v>
      </c>
      <c r="C6" t="s">
        <v>852</v>
      </c>
      <c r="H6">
        <v>91</v>
      </c>
      <c r="I6" t="s">
        <v>853</v>
      </c>
    </row>
    <row r="7" spans="1:16" x14ac:dyDescent="0.25">
      <c r="A7">
        <v>62</v>
      </c>
      <c r="B7" t="s">
        <v>854</v>
      </c>
      <c r="C7" t="s">
        <v>852</v>
      </c>
      <c r="H7">
        <v>92</v>
      </c>
      <c r="I7" t="s">
        <v>855</v>
      </c>
    </row>
    <row r="8" spans="1:16" x14ac:dyDescent="0.25">
      <c r="A8">
        <v>63</v>
      </c>
      <c r="B8" t="s">
        <v>854</v>
      </c>
      <c r="C8" t="s">
        <v>852</v>
      </c>
      <c r="H8">
        <v>93</v>
      </c>
      <c r="I8" t="s">
        <v>856</v>
      </c>
    </row>
    <row r="9" spans="1:16" x14ac:dyDescent="0.25">
      <c r="A9">
        <v>64</v>
      </c>
      <c r="B9" t="s">
        <v>857</v>
      </c>
      <c r="C9" t="s">
        <v>845</v>
      </c>
      <c r="H9">
        <v>94</v>
      </c>
      <c r="I9" t="s">
        <v>858</v>
      </c>
    </row>
    <row r="10" spans="1:16" x14ac:dyDescent="0.25">
      <c r="A10">
        <v>65</v>
      </c>
      <c r="B10" t="s">
        <v>859</v>
      </c>
      <c r="C10" t="s">
        <v>860</v>
      </c>
      <c r="H10">
        <v>95</v>
      </c>
      <c r="I10" t="s">
        <v>861</v>
      </c>
    </row>
    <row r="11" spans="1:16" x14ac:dyDescent="0.25">
      <c r="A11">
        <v>66</v>
      </c>
      <c r="B11" t="s">
        <v>862</v>
      </c>
      <c r="C11" t="s">
        <v>860</v>
      </c>
      <c r="H11">
        <v>96</v>
      </c>
      <c r="I11" t="s">
        <v>863</v>
      </c>
    </row>
    <row r="12" spans="1:16" x14ac:dyDescent="0.25">
      <c r="A12">
        <v>67</v>
      </c>
      <c r="B12" t="s">
        <v>864</v>
      </c>
      <c r="C12" t="s">
        <v>865</v>
      </c>
      <c r="H12">
        <v>97</v>
      </c>
      <c r="I12" t="s">
        <v>866</v>
      </c>
    </row>
    <row r="13" spans="1:16" x14ac:dyDescent="0.25">
      <c r="A13">
        <v>68</v>
      </c>
      <c r="B13" t="s">
        <v>864</v>
      </c>
      <c r="C13" t="s">
        <v>865</v>
      </c>
      <c r="H13">
        <v>98</v>
      </c>
      <c r="I13" t="s">
        <v>867</v>
      </c>
    </row>
    <row r="14" spans="1:16" x14ac:dyDescent="0.25">
      <c r="A14">
        <v>69</v>
      </c>
      <c r="B14" t="s">
        <v>864</v>
      </c>
      <c r="C14" t="s">
        <v>865</v>
      </c>
      <c r="H14">
        <v>99</v>
      </c>
      <c r="I14" t="s">
        <v>868</v>
      </c>
    </row>
    <row r="15" spans="1:16" x14ac:dyDescent="0.25">
      <c r="A15">
        <v>74</v>
      </c>
      <c r="B15" t="s">
        <v>869</v>
      </c>
      <c r="C15" t="s">
        <v>870</v>
      </c>
      <c r="H15">
        <v>114</v>
      </c>
      <c r="I15" t="s">
        <v>871</v>
      </c>
    </row>
    <row r="16" spans="1:16" x14ac:dyDescent="0.25">
      <c r="A16">
        <v>75</v>
      </c>
      <c r="B16" t="s">
        <v>872</v>
      </c>
      <c r="C16" t="s">
        <v>873</v>
      </c>
      <c r="H16">
        <v>115</v>
      </c>
      <c r="I16" t="s">
        <v>874</v>
      </c>
    </row>
    <row r="17" spans="1:9" x14ac:dyDescent="0.25">
      <c r="A17">
        <v>76</v>
      </c>
      <c r="B17" t="s">
        <v>875</v>
      </c>
      <c r="C17" t="s">
        <v>876</v>
      </c>
      <c r="H17">
        <v>116</v>
      </c>
      <c r="I17" t="s">
        <v>877</v>
      </c>
    </row>
    <row r="18" spans="1:9" x14ac:dyDescent="0.25">
      <c r="A18">
        <v>77</v>
      </c>
      <c r="B18" t="s">
        <v>875</v>
      </c>
      <c r="C18" t="s">
        <v>878</v>
      </c>
      <c r="H18">
        <v>117</v>
      </c>
      <c r="I18" t="s">
        <v>879</v>
      </c>
    </row>
    <row r="19" spans="1:9" x14ac:dyDescent="0.25">
      <c r="A19">
        <v>78</v>
      </c>
      <c r="B19" t="s">
        <v>880</v>
      </c>
      <c r="C19" t="s">
        <v>881</v>
      </c>
      <c r="H19">
        <v>118</v>
      </c>
      <c r="I19" t="s">
        <v>882</v>
      </c>
    </row>
    <row r="20" spans="1:9" x14ac:dyDescent="0.25">
      <c r="A20">
        <v>79</v>
      </c>
      <c r="B20" t="s">
        <v>883</v>
      </c>
      <c r="C20" t="s">
        <v>884</v>
      </c>
      <c r="H20">
        <v>119</v>
      </c>
      <c r="I20" t="s">
        <v>885</v>
      </c>
    </row>
    <row r="21" spans="1:9" x14ac:dyDescent="0.25">
      <c r="A21">
        <v>80</v>
      </c>
      <c r="B21" t="s">
        <v>886</v>
      </c>
      <c r="C21" t="s">
        <v>887</v>
      </c>
      <c r="H21">
        <v>120</v>
      </c>
      <c r="I21" t="s">
        <v>888</v>
      </c>
    </row>
    <row r="22" spans="1:9" x14ac:dyDescent="0.25">
      <c r="A22">
        <v>81</v>
      </c>
      <c r="B22" t="s">
        <v>889</v>
      </c>
      <c r="C22" t="s">
        <v>890</v>
      </c>
      <c r="H22">
        <v>121</v>
      </c>
      <c r="I22" t="s">
        <v>891</v>
      </c>
    </row>
    <row r="23" spans="1:9" x14ac:dyDescent="0.25">
      <c r="A23">
        <v>82</v>
      </c>
      <c r="B23" t="s">
        <v>892</v>
      </c>
      <c r="C23" t="s">
        <v>893</v>
      </c>
      <c r="H23">
        <v>122</v>
      </c>
      <c r="I23" t="s">
        <v>894</v>
      </c>
    </row>
    <row r="24" spans="1:9" x14ac:dyDescent="0.25">
      <c r="A24">
        <v>83</v>
      </c>
      <c r="B24" t="s">
        <v>895</v>
      </c>
      <c r="C24" t="s">
        <v>896</v>
      </c>
      <c r="H24">
        <v>123</v>
      </c>
      <c r="I24" t="s">
        <v>897</v>
      </c>
    </row>
    <row r="25" spans="1:9" x14ac:dyDescent="0.25">
      <c r="A25">
        <v>84</v>
      </c>
      <c r="B25" t="s">
        <v>898</v>
      </c>
      <c r="C25" t="s">
        <v>899</v>
      </c>
      <c r="D25" t="s">
        <v>900</v>
      </c>
      <c r="H25">
        <v>124</v>
      </c>
      <c r="I25" t="s">
        <v>901</v>
      </c>
    </row>
    <row r="26" spans="1:9" x14ac:dyDescent="0.25">
      <c r="A26">
        <v>85</v>
      </c>
      <c r="B26" t="s">
        <v>902</v>
      </c>
      <c r="C26" t="s">
        <v>903</v>
      </c>
      <c r="D26" t="s">
        <v>900</v>
      </c>
      <c r="H26">
        <v>125</v>
      </c>
      <c r="I26" t="s">
        <v>904</v>
      </c>
    </row>
    <row r="27" spans="1:9" x14ac:dyDescent="0.25">
      <c r="A27">
        <v>86</v>
      </c>
      <c r="B27" t="s">
        <v>905</v>
      </c>
      <c r="C27" t="s">
        <v>906</v>
      </c>
      <c r="H27">
        <v>126</v>
      </c>
      <c r="I27" t="s">
        <v>907</v>
      </c>
    </row>
    <row r="28" spans="1:9" x14ac:dyDescent="0.25">
      <c r="A28">
        <v>87</v>
      </c>
      <c r="B28" t="s">
        <v>908</v>
      </c>
      <c r="C28" t="s">
        <v>906</v>
      </c>
      <c r="H28">
        <v>127</v>
      </c>
      <c r="I28" t="s">
        <v>909</v>
      </c>
    </row>
    <row r="29" spans="1:9" x14ac:dyDescent="0.25">
      <c r="A29">
        <v>88</v>
      </c>
      <c r="B29" t="s">
        <v>910</v>
      </c>
      <c r="C29" t="s">
        <v>906</v>
      </c>
      <c r="H29">
        <v>128</v>
      </c>
      <c r="I29" t="s">
        <v>911</v>
      </c>
    </row>
    <row r="30" spans="1:9" x14ac:dyDescent="0.25">
      <c r="A30">
        <v>89</v>
      </c>
      <c r="B30" t="s">
        <v>912</v>
      </c>
      <c r="C30" t="s">
        <v>913</v>
      </c>
      <c r="H30">
        <v>129</v>
      </c>
      <c r="I30" t="s">
        <v>914</v>
      </c>
    </row>
    <row r="31" spans="1:9" x14ac:dyDescent="0.25">
      <c r="A31">
        <v>90</v>
      </c>
      <c r="B31" t="s">
        <v>915</v>
      </c>
      <c r="C31" t="s">
        <v>916</v>
      </c>
      <c r="H31">
        <v>130</v>
      </c>
      <c r="I31" t="s">
        <v>917</v>
      </c>
    </row>
    <row r="32" spans="1:9" x14ac:dyDescent="0.25">
      <c r="A32">
        <v>91</v>
      </c>
      <c r="B32" t="s">
        <v>918</v>
      </c>
      <c r="C32" t="s">
        <v>919</v>
      </c>
      <c r="H32">
        <v>131</v>
      </c>
      <c r="I32" t="s">
        <v>920</v>
      </c>
    </row>
    <row r="33" spans="1:9" x14ac:dyDescent="0.25">
      <c r="A33">
        <v>92</v>
      </c>
      <c r="B33" t="s">
        <v>921</v>
      </c>
      <c r="C33" t="s">
        <v>919</v>
      </c>
      <c r="H33">
        <v>132</v>
      </c>
      <c r="I33" t="s">
        <v>922</v>
      </c>
    </row>
    <row r="34" spans="1:9" x14ac:dyDescent="0.25">
      <c r="A34">
        <v>93</v>
      </c>
      <c r="B34" t="s">
        <v>923</v>
      </c>
      <c r="C34" t="s">
        <v>924</v>
      </c>
      <c r="H34">
        <v>133</v>
      </c>
      <c r="I34" t="s">
        <v>925</v>
      </c>
    </row>
    <row r="35" spans="1:9" x14ac:dyDescent="0.25">
      <c r="A35">
        <v>94</v>
      </c>
      <c r="B35" t="s">
        <v>926</v>
      </c>
      <c r="C35" t="s">
        <v>927</v>
      </c>
      <c r="H35">
        <v>134</v>
      </c>
      <c r="I35" t="s">
        <v>928</v>
      </c>
    </row>
    <row r="36" spans="1:9" x14ac:dyDescent="0.25">
      <c r="A36">
        <v>95</v>
      </c>
      <c r="B36" t="s">
        <v>929</v>
      </c>
      <c r="C36" t="s">
        <v>927</v>
      </c>
      <c r="H36">
        <v>135</v>
      </c>
      <c r="I36" t="s">
        <v>930</v>
      </c>
    </row>
    <row r="37" spans="1:9" x14ac:dyDescent="0.25">
      <c r="A37">
        <v>96</v>
      </c>
      <c r="B37" t="s">
        <v>931</v>
      </c>
      <c r="C37" t="s">
        <v>932</v>
      </c>
      <c r="H37">
        <v>136</v>
      </c>
      <c r="I37" t="s">
        <v>933</v>
      </c>
    </row>
    <row r="38" spans="1:9" x14ac:dyDescent="0.25">
      <c r="A38">
        <v>97</v>
      </c>
      <c r="B38" t="s">
        <v>934</v>
      </c>
      <c r="C38" t="s">
        <v>935</v>
      </c>
      <c r="H38">
        <v>137</v>
      </c>
      <c r="I38" t="s">
        <v>936</v>
      </c>
    </row>
    <row r="39" spans="1:9" x14ac:dyDescent="0.25">
      <c r="A39">
        <v>98</v>
      </c>
      <c r="B39" t="s">
        <v>937</v>
      </c>
      <c r="C39" t="s">
        <v>938</v>
      </c>
      <c r="H39">
        <v>138</v>
      </c>
      <c r="I39" t="s">
        <v>939</v>
      </c>
    </row>
    <row r="40" spans="1:9" x14ac:dyDescent="0.25">
      <c r="A40">
        <v>99</v>
      </c>
      <c r="B40" t="s">
        <v>940</v>
      </c>
      <c r="C40" t="s">
        <v>941</v>
      </c>
      <c r="H40">
        <v>139</v>
      </c>
      <c r="I40" t="s">
        <v>942</v>
      </c>
    </row>
    <row r="41" spans="1:9" x14ac:dyDescent="0.25">
      <c r="A41">
        <v>100</v>
      </c>
      <c r="B41" t="s">
        <v>943</v>
      </c>
      <c r="H41">
        <v>140</v>
      </c>
      <c r="I41" t="s">
        <v>944</v>
      </c>
    </row>
    <row r="42" spans="1:9" x14ac:dyDescent="0.25">
      <c r="A42">
        <v>101</v>
      </c>
      <c r="B42" t="s">
        <v>945</v>
      </c>
      <c r="C42" t="s">
        <v>941</v>
      </c>
      <c r="H42">
        <v>141</v>
      </c>
      <c r="I42" t="s">
        <v>946</v>
      </c>
    </row>
    <row r="43" spans="1:9" x14ac:dyDescent="0.25">
      <c r="A43">
        <v>102</v>
      </c>
      <c r="B43" t="s">
        <v>947</v>
      </c>
      <c r="C43" t="s">
        <v>948</v>
      </c>
      <c r="H43">
        <v>142</v>
      </c>
      <c r="I43" t="s">
        <v>949</v>
      </c>
    </row>
    <row r="44" spans="1:9" x14ac:dyDescent="0.25">
      <c r="A44">
        <v>103</v>
      </c>
      <c r="B44" t="s">
        <v>950</v>
      </c>
      <c r="C44" t="s">
        <v>941</v>
      </c>
      <c r="H44">
        <v>143</v>
      </c>
      <c r="I44" t="s">
        <v>951</v>
      </c>
    </row>
    <row r="45" spans="1:9" x14ac:dyDescent="0.25">
      <c r="A45">
        <v>104</v>
      </c>
      <c r="B45" t="s">
        <v>952</v>
      </c>
      <c r="C45" t="s">
        <v>941</v>
      </c>
      <c r="H45">
        <v>144</v>
      </c>
      <c r="I45" t="s">
        <v>953</v>
      </c>
    </row>
    <row r="46" spans="1:9" x14ac:dyDescent="0.25">
      <c r="A46">
        <v>105</v>
      </c>
      <c r="B46" t="s">
        <v>954</v>
      </c>
      <c r="C46" t="s">
        <v>955</v>
      </c>
      <c r="H46">
        <v>145</v>
      </c>
      <c r="I46" t="s">
        <v>956</v>
      </c>
    </row>
    <row r="47" spans="1:9" x14ac:dyDescent="0.25">
      <c r="A47">
        <v>106</v>
      </c>
      <c r="B47" t="s">
        <v>957</v>
      </c>
      <c r="C47" t="s">
        <v>958</v>
      </c>
      <c r="H47">
        <v>146</v>
      </c>
      <c r="I47" t="s">
        <v>959</v>
      </c>
    </row>
    <row r="48" spans="1:9" x14ac:dyDescent="0.25">
      <c r="A48">
        <v>107</v>
      </c>
      <c r="B48" t="s">
        <v>960</v>
      </c>
      <c r="C48" t="s">
        <v>958</v>
      </c>
      <c r="H48">
        <v>147</v>
      </c>
      <c r="I48" t="s">
        <v>961</v>
      </c>
    </row>
    <row r="49" spans="1:9" x14ac:dyDescent="0.25">
      <c r="A49">
        <v>108</v>
      </c>
      <c r="B49" t="s">
        <v>962</v>
      </c>
      <c r="C49" t="s">
        <v>958</v>
      </c>
      <c r="H49">
        <v>148</v>
      </c>
      <c r="I49" t="s">
        <v>963</v>
      </c>
    </row>
    <row r="50" spans="1:9" x14ac:dyDescent="0.25">
      <c r="A50">
        <v>109</v>
      </c>
      <c r="B50" t="s">
        <v>964</v>
      </c>
      <c r="C50" t="s">
        <v>958</v>
      </c>
      <c r="H50">
        <v>149</v>
      </c>
      <c r="I50" t="s">
        <v>965</v>
      </c>
    </row>
    <row r="51" spans="1:9" x14ac:dyDescent="0.25">
      <c r="A51">
        <v>110</v>
      </c>
      <c r="B51" t="s">
        <v>966</v>
      </c>
      <c r="C51" t="s">
        <v>958</v>
      </c>
      <c r="H51">
        <v>150</v>
      </c>
      <c r="I51" t="s">
        <v>967</v>
      </c>
    </row>
    <row r="52" spans="1:9" x14ac:dyDescent="0.25">
      <c r="A52">
        <v>111</v>
      </c>
      <c r="B52" t="s">
        <v>968</v>
      </c>
      <c r="C52" t="s">
        <v>969</v>
      </c>
      <c r="H52">
        <v>151</v>
      </c>
      <c r="I52" t="s">
        <v>970</v>
      </c>
    </row>
    <row r="53" spans="1:9" x14ac:dyDescent="0.25">
      <c r="A53">
        <v>112</v>
      </c>
      <c r="B53" s="10" t="s">
        <v>971</v>
      </c>
      <c r="H53">
        <v>152</v>
      </c>
      <c r="I53" t="s">
        <v>972</v>
      </c>
    </row>
    <row r="54" spans="1:9" x14ac:dyDescent="0.25">
      <c r="A54">
        <v>113</v>
      </c>
      <c r="B54" s="10" t="s">
        <v>973</v>
      </c>
      <c r="H54">
        <v>153</v>
      </c>
      <c r="I54" t="s">
        <v>974</v>
      </c>
    </row>
    <row r="55" spans="1:9" x14ac:dyDescent="0.25">
      <c r="H55">
        <v>154</v>
      </c>
      <c r="I55" t="s">
        <v>975</v>
      </c>
    </row>
    <row r="56" spans="1:9" x14ac:dyDescent="0.25">
      <c r="H56">
        <v>155</v>
      </c>
      <c r="I56" t="s">
        <v>976</v>
      </c>
    </row>
    <row r="57" spans="1:9" x14ac:dyDescent="0.25">
      <c r="H57">
        <v>156</v>
      </c>
      <c r="I57" t="s">
        <v>977</v>
      </c>
    </row>
    <row r="58" spans="1:9" x14ac:dyDescent="0.25">
      <c r="H58">
        <v>157</v>
      </c>
      <c r="I58" t="s">
        <v>978</v>
      </c>
    </row>
    <row r="59" spans="1:9" x14ac:dyDescent="0.25">
      <c r="H59">
        <v>158</v>
      </c>
      <c r="I59" t="s">
        <v>979</v>
      </c>
    </row>
    <row r="60" spans="1:9" x14ac:dyDescent="0.25">
      <c r="H60">
        <v>159</v>
      </c>
      <c r="I60" t="s">
        <v>980</v>
      </c>
    </row>
    <row r="61" spans="1:9" x14ac:dyDescent="0.25">
      <c r="H61">
        <v>160</v>
      </c>
      <c r="I61" t="s">
        <v>981</v>
      </c>
    </row>
    <row r="62" spans="1:9" x14ac:dyDescent="0.25">
      <c r="H62">
        <v>161</v>
      </c>
      <c r="I62" t="s">
        <v>982</v>
      </c>
    </row>
    <row r="63" spans="1:9" x14ac:dyDescent="0.25">
      <c r="H63">
        <v>162</v>
      </c>
      <c r="I63" t="s">
        <v>983</v>
      </c>
    </row>
    <row r="64" spans="1:9" x14ac:dyDescent="0.25">
      <c r="H64">
        <v>163</v>
      </c>
      <c r="I64" t="s">
        <v>984</v>
      </c>
    </row>
    <row r="65" spans="8:9" x14ac:dyDescent="0.25">
      <c r="H65">
        <v>164</v>
      </c>
      <c r="I65" t="s">
        <v>985</v>
      </c>
    </row>
    <row r="66" spans="8:9" x14ac:dyDescent="0.25">
      <c r="H66">
        <v>165</v>
      </c>
      <c r="I66" t="s">
        <v>986</v>
      </c>
    </row>
    <row r="67" spans="8:9" x14ac:dyDescent="0.25">
      <c r="H67">
        <v>166</v>
      </c>
      <c r="I67" t="s">
        <v>987</v>
      </c>
    </row>
    <row r="68" spans="8:9" x14ac:dyDescent="0.25">
      <c r="H68">
        <v>167</v>
      </c>
      <c r="I68" t="s">
        <v>971</v>
      </c>
    </row>
    <row r="69" spans="8:9" x14ac:dyDescent="0.25">
      <c r="H69">
        <v>168</v>
      </c>
      <c r="I69" t="s">
        <v>973</v>
      </c>
    </row>
    <row r="70" spans="8:9" x14ac:dyDescent="0.25">
      <c r="H70">
        <v>169</v>
      </c>
      <c r="I70" t="s">
        <v>988</v>
      </c>
    </row>
    <row r="71" spans="8:9" x14ac:dyDescent="0.25">
      <c r="H71">
        <v>170</v>
      </c>
      <c r="I71" t="s">
        <v>2223</v>
      </c>
    </row>
    <row r="72" spans="8:9" x14ac:dyDescent="0.25">
      <c r="H72">
        <v>171</v>
      </c>
      <c r="I72" t="s">
        <v>2224</v>
      </c>
    </row>
  </sheetData>
  <mergeCells count="1">
    <mergeCell ref="N1:P1"/>
  </mergeCells>
  <pageMargins left="0.7" right="0.7" top="0.78749999999999998" bottom="0.78749999999999998"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47"/>
  <sheetViews>
    <sheetView topLeftCell="A25" zoomScaleNormal="100" workbookViewId="0">
      <selection activeCell="D47" sqref="D47"/>
    </sheetView>
  </sheetViews>
  <sheetFormatPr baseColWidth="10" defaultColWidth="11.7109375" defaultRowHeight="15" x14ac:dyDescent="0.25"/>
  <cols>
    <col min="1" max="1" width="7.7109375" customWidth="1"/>
    <col min="2" max="2" width="49.140625" customWidth="1"/>
    <col min="4" max="4" width="85.42578125" customWidth="1"/>
  </cols>
  <sheetData>
    <row r="1" spans="1:4" x14ac:dyDescent="0.25">
      <c r="A1" s="11" t="s">
        <v>481</v>
      </c>
      <c r="B1" s="11" t="s">
        <v>482</v>
      </c>
      <c r="C1" s="11" t="s">
        <v>483</v>
      </c>
      <c r="D1" s="11" t="s">
        <v>477</v>
      </c>
    </row>
    <row r="2" spans="1:4" x14ac:dyDescent="0.25">
      <c r="A2">
        <v>370</v>
      </c>
      <c r="B2" t="s">
        <v>989</v>
      </c>
      <c r="C2" t="s">
        <v>990</v>
      </c>
      <c r="D2" t="s">
        <v>991</v>
      </c>
    </row>
    <row r="3" spans="1:4" x14ac:dyDescent="0.25">
      <c r="A3">
        <v>371</v>
      </c>
      <c r="B3" t="s">
        <v>992</v>
      </c>
      <c r="C3" t="s">
        <v>990</v>
      </c>
      <c r="D3" t="s">
        <v>993</v>
      </c>
    </row>
    <row r="4" spans="1:4" x14ac:dyDescent="0.25">
      <c r="A4">
        <v>372</v>
      </c>
      <c r="B4" t="s">
        <v>994</v>
      </c>
      <c r="C4" t="s">
        <v>995</v>
      </c>
      <c r="D4" t="s">
        <v>996</v>
      </c>
    </row>
    <row r="5" spans="1:4" x14ac:dyDescent="0.25">
      <c r="A5">
        <v>373</v>
      </c>
      <c r="B5" t="s">
        <v>997</v>
      </c>
      <c r="C5" t="s">
        <v>990</v>
      </c>
      <c r="D5" t="s">
        <v>998</v>
      </c>
    </row>
    <row r="6" spans="1:4" x14ac:dyDescent="0.25">
      <c r="A6">
        <v>374</v>
      </c>
      <c r="B6" t="s">
        <v>999</v>
      </c>
      <c r="C6" t="s">
        <v>995</v>
      </c>
      <c r="D6" t="s">
        <v>1000</v>
      </c>
    </row>
    <row r="7" spans="1:4" x14ac:dyDescent="0.25">
      <c r="A7">
        <v>375</v>
      </c>
      <c r="B7" t="s">
        <v>1001</v>
      </c>
      <c r="C7" t="s">
        <v>990</v>
      </c>
      <c r="D7" t="s">
        <v>1002</v>
      </c>
    </row>
    <row r="8" spans="1:4" x14ac:dyDescent="0.25">
      <c r="A8">
        <v>376</v>
      </c>
      <c r="B8" t="s">
        <v>1003</v>
      </c>
      <c r="C8" t="s">
        <v>990</v>
      </c>
      <c r="D8" t="s">
        <v>1004</v>
      </c>
    </row>
    <row r="9" spans="1:4" x14ac:dyDescent="0.25">
      <c r="A9">
        <v>377</v>
      </c>
      <c r="B9" t="s">
        <v>1005</v>
      </c>
      <c r="C9" t="s">
        <v>995</v>
      </c>
      <c r="D9" t="s">
        <v>1006</v>
      </c>
    </row>
    <row r="10" spans="1:4" x14ac:dyDescent="0.25">
      <c r="A10">
        <v>378</v>
      </c>
      <c r="B10" t="s">
        <v>1007</v>
      </c>
      <c r="C10" t="s">
        <v>995</v>
      </c>
      <c r="D10" t="s">
        <v>1008</v>
      </c>
    </row>
    <row r="11" spans="1:4" x14ac:dyDescent="0.25">
      <c r="A11">
        <v>379</v>
      </c>
      <c r="B11" t="s">
        <v>1009</v>
      </c>
      <c r="C11" t="s">
        <v>995</v>
      </c>
      <c r="D11" t="s">
        <v>1010</v>
      </c>
    </row>
    <row r="12" spans="1:4" x14ac:dyDescent="0.25">
      <c r="A12">
        <v>380</v>
      </c>
      <c r="B12" t="s">
        <v>1011</v>
      </c>
      <c r="C12" t="s">
        <v>995</v>
      </c>
      <c r="D12" t="s">
        <v>1012</v>
      </c>
    </row>
    <row r="13" spans="1:4" x14ac:dyDescent="0.25">
      <c r="A13">
        <v>381</v>
      </c>
      <c r="B13" t="s">
        <v>1013</v>
      </c>
      <c r="C13" t="s">
        <v>990</v>
      </c>
      <c r="D13" t="s">
        <v>1014</v>
      </c>
    </row>
    <row r="14" spans="1:4" x14ac:dyDescent="0.25">
      <c r="A14">
        <v>382</v>
      </c>
      <c r="B14" t="s">
        <v>1015</v>
      </c>
      <c r="C14" t="s">
        <v>995</v>
      </c>
      <c r="D14" t="s">
        <v>1016</v>
      </c>
    </row>
    <row r="15" spans="1:4" x14ac:dyDescent="0.25">
      <c r="A15">
        <v>383</v>
      </c>
      <c r="B15" t="s">
        <v>1017</v>
      </c>
      <c r="C15" t="s">
        <v>990</v>
      </c>
      <c r="D15" t="s">
        <v>1018</v>
      </c>
    </row>
    <row r="16" spans="1:4" x14ac:dyDescent="0.25">
      <c r="A16">
        <v>384</v>
      </c>
      <c r="B16" t="s">
        <v>1019</v>
      </c>
      <c r="C16" t="s">
        <v>995</v>
      </c>
      <c r="D16" t="s">
        <v>1020</v>
      </c>
    </row>
    <row r="17" spans="1:4" x14ac:dyDescent="0.25">
      <c r="A17">
        <v>456</v>
      </c>
      <c r="B17" t="s">
        <v>1021</v>
      </c>
      <c r="C17" t="s">
        <v>990</v>
      </c>
      <c r="D17" t="s">
        <v>1022</v>
      </c>
    </row>
    <row r="18" spans="1:4" x14ac:dyDescent="0.25">
      <c r="A18">
        <v>457</v>
      </c>
      <c r="B18" t="s">
        <v>1023</v>
      </c>
      <c r="C18" t="s">
        <v>990</v>
      </c>
      <c r="D18" t="s">
        <v>1024</v>
      </c>
    </row>
    <row r="19" spans="1:4" x14ac:dyDescent="0.25">
      <c r="A19">
        <v>458</v>
      </c>
      <c r="B19" t="s">
        <v>1025</v>
      </c>
      <c r="C19" t="s">
        <v>990</v>
      </c>
      <c r="D19" t="s">
        <v>1026</v>
      </c>
    </row>
    <row r="20" spans="1:4" x14ac:dyDescent="0.25">
      <c r="A20">
        <v>459</v>
      </c>
      <c r="B20" t="s">
        <v>1027</v>
      </c>
      <c r="C20" t="s">
        <v>995</v>
      </c>
      <c r="D20" t="s">
        <v>1028</v>
      </c>
    </row>
    <row r="21" spans="1:4" x14ac:dyDescent="0.25">
      <c r="A21">
        <v>460</v>
      </c>
      <c r="B21" t="s">
        <v>1029</v>
      </c>
      <c r="C21" t="s">
        <v>995</v>
      </c>
      <c r="D21" t="s">
        <v>1028</v>
      </c>
    </row>
    <row r="22" spans="1:4" x14ac:dyDescent="0.25">
      <c r="A22">
        <v>461</v>
      </c>
      <c r="B22" t="s">
        <v>1030</v>
      </c>
      <c r="C22" t="s">
        <v>995</v>
      </c>
      <c r="D22" t="s">
        <v>1031</v>
      </c>
    </row>
    <row r="23" spans="1:4" x14ac:dyDescent="0.25">
      <c r="A23">
        <v>462</v>
      </c>
      <c r="B23" t="s">
        <v>1032</v>
      </c>
      <c r="C23" t="s">
        <v>995</v>
      </c>
      <c r="D23" t="s">
        <v>1033</v>
      </c>
    </row>
    <row r="24" spans="1:4" x14ac:dyDescent="0.25">
      <c r="A24">
        <v>463</v>
      </c>
      <c r="B24" t="s">
        <v>1034</v>
      </c>
      <c r="C24" t="s">
        <v>995</v>
      </c>
      <c r="D24" t="s">
        <v>1035</v>
      </c>
    </row>
    <row r="25" spans="1:4" x14ac:dyDescent="0.25">
      <c r="A25">
        <v>464</v>
      </c>
      <c r="B25" t="s">
        <v>1036</v>
      </c>
      <c r="C25" t="s">
        <v>990</v>
      </c>
      <c r="D25" t="s">
        <v>1037</v>
      </c>
    </row>
    <row r="26" spans="1:4" x14ac:dyDescent="0.25">
      <c r="A26">
        <v>465</v>
      </c>
      <c r="B26" t="s">
        <v>1038</v>
      </c>
      <c r="C26" t="s">
        <v>995</v>
      </c>
      <c r="D26" t="s">
        <v>1039</v>
      </c>
    </row>
    <row r="27" spans="1:4" x14ac:dyDescent="0.25">
      <c r="A27">
        <v>466</v>
      </c>
      <c r="B27" t="s">
        <v>1040</v>
      </c>
      <c r="C27" t="s">
        <v>995</v>
      </c>
      <c r="D27" t="s">
        <v>1041</v>
      </c>
    </row>
    <row r="28" spans="1:4" x14ac:dyDescent="0.25">
      <c r="A28">
        <v>467</v>
      </c>
      <c r="B28" t="s">
        <v>1042</v>
      </c>
      <c r="C28" t="s">
        <v>990</v>
      </c>
      <c r="D28" t="s">
        <v>1043</v>
      </c>
    </row>
    <row r="29" spans="1:4" x14ac:dyDescent="0.25">
      <c r="A29">
        <v>468</v>
      </c>
      <c r="B29" t="s">
        <v>1044</v>
      </c>
      <c r="C29" t="s">
        <v>990</v>
      </c>
    </row>
    <row r="30" spans="1:4" x14ac:dyDescent="0.25">
      <c r="A30">
        <v>469</v>
      </c>
      <c r="B30" t="s">
        <v>1045</v>
      </c>
      <c r="C30" t="s">
        <v>995</v>
      </c>
    </row>
    <row r="31" spans="1:4" x14ac:dyDescent="0.25">
      <c r="A31">
        <v>470</v>
      </c>
      <c r="B31" t="s">
        <v>1046</v>
      </c>
      <c r="C31" t="s">
        <v>995</v>
      </c>
    </row>
    <row r="32" spans="1:4" x14ac:dyDescent="0.25">
      <c r="A32">
        <v>471</v>
      </c>
      <c r="B32" t="s">
        <v>1047</v>
      </c>
      <c r="C32" t="s">
        <v>995</v>
      </c>
      <c r="D32" t="s">
        <v>1048</v>
      </c>
    </row>
    <row r="33" spans="1:4" x14ac:dyDescent="0.25">
      <c r="A33">
        <v>472</v>
      </c>
      <c r="B33" t="s">
        <v>1047</v>
      </c>
      <c r="C33" t="s">
        <v>995</v>
      </c>
      <c r="D33" t="s">
        <v>1049</v>
      </c>
    </row>
    <row r="34" spans="1:4" x14ac:dyDescent="0.25">
      <c r="A34">
        <v>473</v>
      </c>
      <c r="B34" t="s">
        <v>1050</v>
      </c>
      <c r="C34" t="s">
        <v>995</v>
      </c>
    </row>
    <row r="35" spans="1:4" x14ac:dyDescent="0.25">
      <c r="A35">
        <v>474</v>
      </c>
      <c r="B35" t="s">
        <v>1051</v>
      </c>
      <c r="C35" t="s">
        <v>995</v>
      </c>
      <c r="D35" t="s">
        <v>1052</v>
      </c>
    </row>
    <row r="36" spans="1:4" x14ac:dyDescent="0.25">
      <c r="A36">
        <v>475</v>
      </c>
      <c r="B36" t="s">
        <v>1053</v>
      </c>
      <c r="C36" t="s">
        <v>995</v>
      </c>
      <c r="D36" t="s">
        <v>1054</v>
      </c>
    </row>
    <row r="37" spans="1:4" x14ac:dyDescent="0.25">
      <c r="A37">
        <v>476</v>
      </c>
      <c r="B37" t="s">
        <v>1055</v>
      </c>
      <c r="C37" t="s">
        <v>990</v>
      </c>
      <c r="D37" t="s">
        <v>1056</v>
      </c>
    </row>
    <row r="38" spans="1:4" x14ac:dyDescent="0.25">
      <c r="A38">
        <v>477</v>
      </c>
      <c r="B38" t="s">
        <v>1057</v>
      </c>
      <c r="C38" t="s">
        <v>990</v>
      </c>
      <c r="D38" t="s">
        <v>1058</v>
      </c>
    </row>
    <row r="39" spans="1:4" x14ac:dyDescent="0.25">
      <c r="A39">
        <v>478</v>
      </c>
      <c r="B39" t="s">
        <v>1059</v>
      </c>
      <c r="C39" t="s">
        <v>995</v>
      </c>
      <c r="D39" t="s">
        <v>1060</v>
      </c>
    </row>
    <row r="40" spans="1:4" x14ac:dyDescent="0.25">
      <c r="A40">
        <v>479</v>
      </c>
      <c r="B40" t="s">
        <v>1061</v>
      </c>
      <c r="C40" t="s">
        <v>995</v>
      </c>
      <c r="D40" t="s">
        <v>1062</v>
      </c>
    </row>
    <row r="41" spans="1:4" x14ac:dyDescent="0.25">
      <c r="A41">
        <v>480</v>
      </c>
      <c r="B41" t="s">
        <v>1063</v>
      </c>
      <c r="C41" t="s">
        <v>990</v>
      </c>
    </row>
    <row r="42" spans="1:4" x14ac:dyDescent="0.25">
      <c r="A42">
        <v>481</v>
      </c>
      <c r="B42" t="s">
        <v>1064</v>
      </c>
      <c r="C42" t="s">
        <v>990</v>
      </c>
    </row>
    <row r="43" spans="1:4" x14ac:dyDescent="0.25">
      <c r="A43">
        <v>482</v>
      </c>
      <c r="B43" t="s">
        <v>1065</v>
      </c>
      <c r="C43" t="s">
        <v>990</v>
      </c>
    </row>
    <row r="44" spans="1:4" x14ac:dyDescent="0.25">
      <c r="A44">
        <v>483</v>
      </c>
      <c r="B44" t="s">
        <v>1066</v>
      </c>
      <c r="C44" t="s">
        <v>995</v>
      </c>
    </row>
    <row r="45" spans="1:4" x14ac:dyDescent="0.25">
      <c r="A45">
        <v>484</v>
      </c>
      <c r="B45" t="s">
        <v>1067</v>
      </c>
      <c r="C45" t="s">
        <v>995</v>
      </c>
    </row>
    <row r="46" spans="1:4" x14ac:dyDescent="0.25">
      <c r="A46">
        <v>485</v>
      </c>
      <c r="B46" t="s">
        <v>1068</v>
      </c>
      <c r="C46" t="s">
        <v>995</v>
      </c>
    </row>
    <row r="47" spans="1:4" x14ac:dyDescent="0.25">
      <c r="A47">
        <v>486</v>
      </c>
      <c r="B47" t="s">
        <v>1069</v>
      </c>
      <c r="C47" t="s">
        <v>995</v>
      </c>
      <c r="D47" t="s">
        <v>1070</v>
      </c>
    </row>
  </sheetData>
  <pageMargins left="0.7" right="0.7" top="0.78749999999999998" bottom="0.78749999999999998"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3"/>
  <sheetViews>
    <sheetView zoomScaleNormal="100" workbookViewId="0">
      <selection activeCell="B13" sqref="B13"/>
    </sheetView>
  </sheetViews>
  <sheetFormatPr baseColWidth="10" defaultColWidth="12.5703125" defaultRowHeight="15" x14ac:dyDescent="0.25"/>
  <cols>
    <col min="1" max="1" width="12.28515625" customWidth="1"/>
    <col min="2" max="2" width="16.5703125" customWidth="1"/>
    <col min="4" max="4" width="16.140625" customWidth="1"/>
    <col min="5" max="5" width="17" customWidth="1"/>
    <col min="6" max="6" width="41" customWidth="1"/>
  </cols>
  <sheetData>
    <row r="1" spans="1:6" x14ac:dyDescent="0.25">
      <c r="A1" s="12" t="s">
        <v>1071</v>
      </c>
      <c r="B1" s="12" t="s">
        <v>1072</v>
      </c>
      <c r="D1" s="12" t="s">
        <v>1073</v>
      </c>
      <c r="E1" s="12" t="s">
        <v>1072</v>
      </c>
      <c r="F1" s="12" t="s">
        <v>1074</v>
      </c>
    </row>
    <row r="2" spans="1:6" x14ac:dyDescent="0.25">
      <c r="A2">
        <v>20</v>
      </c>
      <c r="B2" t="s">
        <v>1075</v>
      </c>
      <c r="D2">
        <v>2</v>
      </c>
      <c r="E2" t="s">
        <v>1076</v>
      </c>
      <c r="F2" t="s">
        <v>1077</v>
      </c>
    </row>
    <row r="3" spans="1:6" x14ac:dyDescent="0.25">
      <c r="A3">
        <v>36</v>
      </c>
      <c r="B3" t="s">
        <v>1078</v>
      </c>
      <c r="D3">
        <v>13</v>
      </c>
      <c r="E3" t="s">
        <v>1079</v>
      </c>
      <c r="F3" t="s">
        <v>1080</v>
      </c>
    </row>
    <row r="4" spans="1:6" x14ac:dyDescent="0.25">
      <c r="A4">
        <v>37</v>
      </c>
      <c r="B4" t="s">
        <v>1081</v>
      </c>
      <c r="D4">
        <v>31</v>
      </c>
      <c r="E4" t="s">
        <v>999</v>
      </c>
      <c r="F4" t="s">
        <v>1082</v>
      </c>
    </row>
    <row r="5" spans="1:6" x14ac:dyDescent="0.25">
      <c r="A5">
        <v>38</v>
      </c>
      <c r="B5" t="s">
        <v>1083</v>
      </c>
      <c r="D5">
        <v>3</v>
      </c>
      <c r="E5" t="s">
        <v>1084</v>
      </c>
      <c r="F5" t="s">
        <v>1085</v>
      </c>
    </row>
    <row r="6" spans="1:6" x14ac:dyDescent="0.25">
      <c r="A6">
        <v>39</v>
      </c>
      <c r="B6" t="s">
        <v>1086</v>
      </c>
      <c r="D6">
        <v>35</v>
      </c>
      <c r="E6" t="s">
        <v>1087</v>
      </c>
      <c r="F6" t="s">
        <v>1088</v>
      </c>
    </row>
    <row r="7" spans="1:6" x14ac:dyDescent="0.25">
      <c r="A7">
        <v>40</v>
      </c>
      <c r="B7" t="s">
        <v>1089</v>
      </c>
      <c r="D7">
        <v>5</v>
      </c>
      <c r="E7" t="s">
        <v>1090</v>
      </c>
      <c r="F7" t="s">
        <v>1091</v>
      </c>
    </row>
    <row r="8" spans="1:6" x14ac:dyDescent="0.25">
      <c r="A8">
        <v>41</v>
      </c>
      <c r="B8" t="s">
        <v>1092</v>
      </c>
      <c r="D8">
        <v>14</v>
      </c>
      <c r="E8" t="s">
        <v>1093</v>
      </c>
      <c r="F8" t="s">
        <v>1091</v>
      </c>
    </row>
    <row r="9" spans="1:6" x14ac:dyDescent="0.25">
      <c r="A9">
        <v>42</v>
      </c>
      <c r="B9" t="s">
        <v>1094</v>
      </c>
      <c r="D9">
        <v>29</v>
      </c>
      <c r="E9" t="s">
        <v>1095</v>
      </c>
      <c r="F9" t="s">
        <v>1096</v>
      </c>
    </row>
    <row r="10" spans="1:6" x14ac:dyDescent="0.25">
      <c r="A10">
        <v>43</v>
      </c>
      <c r="B10" t="s">
        <v>1097</v>
      </c>
      <c r="C10" t="s">
        <v>2261</v>
      </c>
    </row>
    <row r="11" spans="1:6" x14ac:dyDescent="0.25">
      <c r="A11">
        <v>44</v>
      </c>
      <c r="B11" t="s">
        <v>1098</v>
      </c>
    </row>
    <row r="12" spans="1:6" x14ac:dyDescent="0.25">
      <c r="A12">
        <v>45</v>
      </c>
      <c r="B12" t="s">
        <v>1099</v>
      </c>
    </row>
    <row r="13">
      <c r="D13" t="inlineStr">
        <is>
          <t xml:space="preserve">14</t>
        </is>
      </c>
      <c r="E13" t="inlineStr">
        <is>
          <t xml:space="preserve">Mine Dor Kiredon (345)</t>
        </is>
      </c>
      <c r="F13" t="inlineStr">
        <is>
          <t xml:space="preserve">Chest object (texture 164, like labdata 37) as block 61</t>
        </is>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Roman,Regular"&amp;12&amp;KffffffSeite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27"/>
  <sheetViews>
    <sheetView zoomScaleNormal="100" workbookViewId="0">
      <selection activeCell="C3" sqref="C3"/>
    </sheetView>
  </sheetViews>
  <sheetFormatPr baseColWidth="10" defaultColWidth="11.7109375" defaultRowHeight="15" x14ac:dyDescent="0.25"/>
  <cols>
    <col min="2" max="2" width="28.5703125" customWidth="1"/>
    <col min="3" max="3" width="61.5703125" customWidth="1"/>
  </cols>
  <sheetData>
    <row r="1" spans="1:7" x14ac:dyDescent="0.25">
      <c r="A1" t="s">
        <v>481</v>
      </c>
      <c r="B1" t="s">
        <v>482</v>
      </c>
      <c r="C1" t="s">
        <v>477</v>
      </c>
      <c r="F1" s="13"/>
      <c r="G1" s="14"/>
    </row>
    <row r="2" spans="1:7" x14ac:dyDescent="0.25">
      <c r="A2" s="13">
        <v>45</v>
      </c>
      <c r="B2" s="14" t="s">
        <v>1100</v>
      </c>
      <c r="C2" s="9" t="s">
        <v>1101</v>
      </c>
      <c r="F2" s="15"/>
      <c r="G2" s="14"/>
    </row>
    <row r="3" spans="1:7" x14ac:dyDescent="0.25">
      <c r="A3" s="15">
        <v>57</v>
      </c>
      <c r="B3" s="14" t="s">
        <v>1100</v>
      </c>
      <c r="C3" s="9" t="s">
        <v>1102</v>
      </c>
      <c r="F3" s="13"/>
    </row>
    <row r="4" spans="1:7" x14ac:dyDescent="0.25">
      <c r="A4" s="13">
        <v>71</v>
      </c>
      <c r="B4" t="s">
        <v>1100</v>
      </c>
      <c r="C4" t="s">
        <v>1103</v>
      </c>
      <c r="F4" s="13"/>
    </row>
    <row r="5" spans="1:7" x14ac:dyDescent="0.25">
      <c r="A5" s="13">
        <v>77</v>
      </c>
      <c r="B5" s="14" t="s">
        <v>1100</v>
      </c>
      <c r="C5" s="9" t="s">
        <v>1104</v>
      </c>
      <c r="F5" s="13"/>
      <c r="G5" s="14"/>
    </row>
    <row r="6" spans="1:7" x14ac:dyDescent="0.25">
      <c r="A6" s="13">
        <v>112</v>
      </c>
      <c r="B6" s="14" t="s">
        <v>1100</v>
      </c>
      <c r="C6" s="9" t="s">
        <v>1104</v>
      </c>
      <c r="F6" s="15"/>
      <c r="G6" s="14"/>
    </row>
    <row r="7" spans="1:7" x14ac:dyDescent="0.25">
      <c r="A7" s="15">
        <v>117</v>
      </c>
      <c r="B7" t="s">
        <v>1100</v>
      </c>
      <c r="C7" s="9" t="s">
        <v>1105</v>
      </c>
      <c r="F7" s="13"/>
      <c r="G7" s="14"/>
    </row>
    <row r="8" spans="1:7" x14ac:dyDescent="0.25">
      <c r="A8" s="15">
        <v>118</v>
      </c>
      <c r="B8" t="s">
        <v>1100</v>
      </c>
      <c r="C8" t="s">
        <v>1106</v>
      </c>
      <c r="F8" s="13"/>
      <c r="G8" s="14"/>
    </row>
    <row r="9" spans="1:7" x14ac:dyDescent="0.25">
      <c r="A9" s="13">
        <v>135</v>
      </c>
      <c r="B9" s="14" t="s">
        <v>1100</v>
      </c>
      <c r="C9" s="9" t="s">
        <v>1104</v>
      </c>
      <c r="F9" s="13"/>
      <c r="G9" s="14"/>
    </row>
    <row r="10" spans="1:7" x14ac:dyDescent="0.25">
      <c r="A10" s="13">
        <v>139</v>
      </c>
      <c r="B10" s="14" t="s">
        <v>1100</v>
      </c>
      <c r="C10" s="9" t="s">
        <v>1104</v>
      </c>
      <c r="F10" s="13"/>
      <c r="G10" s="14"/>
    </row>
    <row r="11" spans="1:7" ht="75" x14ac:dyDescent="0.25">
      <c r="A11" s="13">
        <v>157</v>
      </c>
      <c r="B11" s="14" t="s">
        <v>1107</v>
      </c>
      <c r="C11" s="9" t="s">
        <v>1108</v>
      </c>
      <c r="F11" s="13"/>
      <c r="G11" s="14"/>
    </row>
    <row r="12" spans="1:7" x14ac:dyDescent="0.25">
      <c r="A12" s="13">
        <v>163</v>
      </c>
      <c r="B12" s="14" t="s">
        <v>1100</v>
      </c>
      <c r="C12" s="9" t="s">
        <v>1109</v>
      </c>
      <c r="G12" s="14"/>
    </row>
    <row r="13" spans="1:7" ht="30" x14ac:dyDescent="0.25">
      <c r="A13" s="13">
        <v>198</v>
      </c>
      <c r="B13" s="14" t="s">
        <v>1110</v>
      </c>
      <c r="C13" s="9" t="s">
        <v>1111</v>
      </c>
      <c r="F13" s="13"/>
      <c r="G13" s="14"/>
    </row>
    <row r="14" spans="1:7" x14ac:dyDescent="0.25">
      <c r="A14" s="15">
        <v>203</v>
      </c>
      <c r="B14" t="s">
        <v>1100</v>
      </c>
      <c r="C14" s="9" t="s">
        <v>1112</v>
      </c>
      <c r="F14" s="15"/>
      <c r="G14" s="14"/>
    </row>
    <row r="15" spans="1:7" x14ac:dyDescent="0.25">
      <c r="A15" s="13">
        <v>244</v>
      </c>
      <c r="B15" s="14" t="s">
        <v>1100</v>
      </c>
      <c r="C15" s="9" t="s">
        <v>1104</v>
      </c>
      <c r="F15" s="13"/>
      <c r="G15" s="14"/>
    </row>
    <row r="16" spans="1:7" x14ac:dyDescent="0.25">
      <c r="A16" s="15">
        <v>249</v>
      </c>
      <c r="B16" t="s">
        <v>1100</v>
      </c>
      <c r="C16" s="9" t="s">
        <v>1113</v>
      </c>
      <c r="F16" s="13"/>
    </row>
    <row r="17" spans="1:7" x14ac:dyDescent="0.25">
      <c r="A17" s="13">
        <v>257</v>
      </c>
      <c r="B17" t="s">
        <v>1114</v>
      </c>
      <c r="C17" t="s">
        <v>1115</v>
      </c>
      <c r="F17" s="13"/>
    </row>
    <row r="18" spans="1:7" x14ac:dyDescent="0.25">
      <c r="A18" s="13">
        <v>258</v>
      </c>
      <c r="B18" t="s">
        <v>1116</v>
      </c>
      <c r="C18" t="s">
        <v>1117</v>
      </c>
      <c r="F18" s="13"/>
      <c r="G18" s="14"/>
    </row>
    <row r="19" spans="1:7" x14ac:dyDescent="0.25">
      <c r="A19" s="13">
        <v>259</v>
      </c>
      <c r="B19" s="14" t="s">
        <v>1118</v>
      </c>
      <c r="C19" s="9" t="s">
        <v>1119</v>
      </c>
      <c r="F19" s="13"/>
      <c r="G19" s="14"/>
    </row>
    <row r="20" spans="1:7" x14ac:dyDescent="0.25">
      <c r="A20" s="13">
        <v>262</v>
      </c>
      <c r="B20" s="14" t="s">
        <v>1120</v>
      </c>
      <c r="C20" s="9" t="s">
        <v>1119</v>
      </c>
      <c r="F20" s="13"/>
    </row>
    <row r="21" spans="1:7" ht="45" x14ac:dyDescent="0.25">
      <c r="A21" s="13">
        <v>263</v>
      </c>
      <c r="B21" s="14" t="s">
        <v>1084</v>
      </c>
      <c r="C21" s="9" t="s">
        <v>1121</v>
      </c>
      <c r="F21" s="13"/>
    </row>
    <row r="22" spans="1:7" x14ac:dyDescent="0.25">
      <c r="A22" s="13">
        <v>273</v>
      </c>
      <c r="B22" s="14" t="s">
        <v>1122</v>
      </c>
      <c r="C22" s="9" t="s">
        <v>1123</v>
      </c>
      <c r="F22" s="15"/>
    </row>
    <row r="23" spans="1:7" ht="30" x14ac:dyDescent="0.25">
      <c r="A23" s="13">
        <v>421</v>
      </c>
      <c r="B23" s="14" t="s">
        <v>1124</v>
      </c>
      <c r="C23" s="9" t="s">
        <v>1125</v>
      </c>
    </row>
    <row r="24">
      <c r="A24" t="inlineStr">
        <is>
          <t xml:space="preserve">343</t>
        </is>
      </c>
      <c r="B24" t="inlineStr">
        <is>
          <t xml:space="preserve">Dor Kiredon</t>
        </is>
      </c>
      <c r="C24" t="inlineStr">
        <is>
          <t xml:space="preserve">Chain 20 at (16,21) and (16,23): if Bore (18) is in the party, text 21, he leaves the party (chests 307/308), is hidden in Gemstone, the mine NPC and the chests appear, var 471 is set</t>
        </is>
      </c>
    </row>
    <row r="25">
      <c r="A25" t="inlineStr">
        <is>
          <t xml:space="preserve">345</t>
        </is>
      </c>
      <c r="B25" t="inlineStr">
        <is>
          <t xml:space="preserve">Mine</t>
        </is>
      </c>
      <c r="C25" t="inlineStr">
        <is>
          <t xml:space="preserve">NPC Bore (80) at (12,7), chests 307/308 at (11,7) and (10,8) (only active with var 471, block 61 is placed by map 343)</t>
        </is>
      </c>
    </row>
    <row r="26">
      <c r="A26" t="inlineStr">
        <is>
          <t xml:space="preserve">406</t>
        </is>
      </c>
      <c r="B26" t="inlineStr">
        <is>
          <t xml:space="preserve">Gemstone Ruinen</t>
        </is>
      </c>
      <c r="C26" t="inlineStr">
        <is>
          <t xml:space="preserve">Party member Bore (18) at the position of NPC Bore, initially hidden</t>
        </is>
      </c>
    </row>
    <row r="27">
      <c r="A27" t="inlineStr">
        <is>
          <t xml:space="preserve">436</t>
        </is>
      </c>
      <c r="B27" t="inlineStr">
        <is>
          <t xml:space="preserve">F-Schiff: Waldmond</t>
        </is>
      </c>
      <c r="C27" t="inlineStr">
        <is>
          <t xml:space="preserve">When leaving the forest moon (var 320), NPC Bore is hidden and party member Bore is shown in Gemstone</t>
        </is>
      </c>
    </row>
  </sheetData>
  <pageMargins left="0.7" right="0.7" top="0.78749999999999998" bottom="0.78749999999999998"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24"/>
  <sheetViews>
    <sheetView topLeftCell="A13" zoomScaleNormal="100" workbookViewId="0">
      <selection activeCell="A19" sqref="A19"/>
    </sheetView>
  </sheetViews>
  <sheetFormatPr baseColWidth="10" defaultColWidth="11.7109375" defaultRowHeight="15" x14ac:dyDescent="0.25"/>
  <cols>
    <col min="2" max="2" width="22" customWidth="1"/>
    <col min="3" max="3" width="25.5703125" customWidth="1"/>
  </cols>
  <sheetData>
    <row r="1" spans="1:4" x14ac:dyDescent="0.25">
      <c r="A1" t="s">
        <v>481</v>
      </c>
      <c r="B1" t="s">
        <v>482</v>
      </c>
      <c r="C1" t="s">
        <v>1126</v>
      </c>
      <c r="D1" t="s">
        <v>477</v>
      </c>
    </row>
    <row r="2" spans="1:4" x14ac:dyDescent="0.25">
      <c r="A2">
        <v>36</v>
      </c>
      <c r="B2" t="s">
        <v>1127</v>
      </c>
      <c r="C2" t="s">
        <v>1128</v>
      </c>
      <c r="D2" t="s">
        <v>1129</v>
      </c>
    </row>
    <row r="3" spans="1:4" x14ac:dyDescent="0.25">
      <c r="A3">
        <v>37</v>
      </c>
      <c r="B3" t="s">
        <v>1130</v>
      </c>
      <c r="C3" t="s">
        <v>1131</v>
      </c>
      <c r="D3" t="s">
        <v>1132</v>
      </c>
    </row>
    <row r="4" spans="1:4" x14ac:dyDescent="0.25">
      <c r="A4">
        <v>38</v>
      </c>
      <c r="B4" t="s">
        <v>1133</v>
      </c>
      <c r="C4" t="s">
        <v>1134</v>
      </c>
    </row>
    <row r="5" spans="1:4" x14ac:dyDescent="0.25">
      <c r="A5">
        <v>39</v>
      </c>
      <c r="B5" t="s">
        <v>1135</v>
      </c>
      <c r="C5" t="s">
        <v>1134</v>
      </c>
    </row>
    <row r="6" spans="1:4" x14ac:dyDescent="0.25">
      <c r="A6">
        <v>40</v>
      </c>
      <c r="B6" t="s">
        <v>1136</v>
      </c>
      <c r="C6" t="s">
        <v>1137</v>
      </c>
      <c r="D6" t="s">
        <v>1138</v>
      </c>
    </row>
    <row r="7" spans="1:4" x14ac:dyDescent="0.25">
      <c r="A7">
        <v>41</v>
      </c>
      <c r="B7" t="s">
        <v>1139</v>
      </c>
      <c r="C7" t="s">
        <v>1140</v>
      </c>
      <c r="D7" t="s">
        <v>1141</v>
      </c>
    </row>
    <row r="8" spans="1:4" x14ac:dyDescent="0.25">
      <c r="A8">
        <v>42</v>
      </c>
      <c r="B8" t="s">
        <v>1142</v>
      </c>
      <c r="C8" t="s">
        <v>1143</v>
      </c>
      <c r="D8" t="s">
        <v>1144</v>
      </c>
    </row>
    <row r="9" spans="1:4" x14ac:dyDescent="0.25">
      <c r="A9">
        <v>43</v>
      </c>
      <c r="B9" t="s">
        <v>1145</v>
      </c>
      <c r="C9" t="s">
        <v>1146</v>
      </c>
      <c r="D9" t="s">
        <v>1147</v>
      </c>
    </row>
    <row r="10" spans="1:4" x14ac:dyDescent="0.25">
      <c r="A10">
        <v>44</v>
      </c>
      <c r="B10" t="s">
        <v>1148</v>
      </c>
      <c r="C10" t="s">
        <v>1146</v>
      </c>
      <c r="D10" t="s">
        <v>1149</v>
      </c>
    </row>
    <row r="11" spans="1:4" x14ac:dyDescent="0.25">
      <c r="A11">
        <v>45</v>
      </c>
      <c r="B11" t="s">
        <v>1150</v>
      </c>
      <c r="C11" t="s">
        <v>1151</v>
      </c>
      <c r="D11" t="s">
        <v>1152</v>
      </c>
    </row>
    <row r="12" spans="1:4" x14ac:dyDescent="0.25">
      <c r="A12">
        <v>46</v>
      </c>
      <c r="B12" t="s">
        <v>1153</v>
      </c>
      <c r="C12" t="s">
        <v>1154</v>
      </c>
      <c r="D12" t="s">
        <v>1155</v>
      </c>
    </row>
    <row r="13" spans="1:4" x14ac:dyDescent="0.25">
      <c r="A13">
        <v>47</v>
      </c>
      <c r="B13" t="s">
        <v>1156</v>
      </c>
      <c r="C13" t="s">
        <v>1157</v>
      </c>
      <c r="D13" t="s">
        <v>1158</v>
      </c>
    </row>
    <row r="14" spans="1:4" x14ac:dyDescent="0.25">
      <c r="A14">
        <v>71</v>
      </c>
      <c r="B14" t="s">
        <v>1159</v>
      </c>
      <c r="C14" t="s">
        <v>1160</v>
      </c>
      <c r="D14" t="s">
        <v>1161</v>
      </c>
    </row>
    <row r="15" spans="1:4" x14ac:dyDescent="0.25">
      <c r="A15">
        <v>72</v>
      </c>
      <c r="B15" t="s">
        <v>1162</v>
      </c>
      <c r="C15" t="s">
        <v>1163</v>
      </c>
      <c r="D15" t="s">
        <v>1164</v>
      </c>
    </row>
    <row r="16" spans="1:4" x14ac:dyDescent="0.25">
      <c r="A16">
        <v>73</v>
      </c>
      <c r="B16" t="s">
        <v>1165</v>
      </c>
      <c r="C16" t="s">
        <v>1166</v>
      </c>
      <c r="D16" t="s">
        <v>1167</v>
      </c>
    </row>
    <row r="17" spans="1:15" x14ac:dyDescent="0.25">
      <c r="A17">
        <v>74</v>
      </c>
      <c r="B17" t="s">
        <v>1168</v>
      </c>
      <c r="C17" t="s">
        <v>1169</v>
      </c>
      <c r="D17" t="s">
        <v>1170</v>
      </c>
    </row>
    <row r="18" spans="1:15" x14ac:dyDescent="0.25">
      <c r="A18">
        <v>75</v>
      </c>
      <c r="B18" t="s">
        <v>1171</v>
      </c>
      <c r="C18" t="s">
        <v>1169</v>
      </c>
      <c r="D18" t="s">
        <v>1172</v>
      </c>
    </row>
    <row r="19" spans="1:15" x14ac:dyDescent="0.25">
      <c r="A19">
        <v>76</v>
      </c>
      <c r="B19" t="s">
        <v>1173</v>
      </c>
      <c r="C19" t="s">
        <v>1174</v>
      </c>
    </row>
    <row r="20" spans="1:15" x14ac:dyDescent="0.25">
      <c r="A20">
        <v>77</v>
      </c>
      <c r="B20" t="s">
        <v>1175</v>
      </c>
      <c r="C20" t="s">
        <v>1174</v>
      </c>
      <c r="L20" s="74" t="s">
        <v>1176</v>
      </c>
      <c r="M20" s="74"/>
      <c r="N20" s="74"/>
      <c r="O20" s="74"/>
    </row>
    <row r="21" spans="1:15" x14ac:dyDescent="0.25">
      <c r="A21">
        <v>78</v>
      </c>
      <c r="B21" t="s">
        <v>1177</v>
      </c>
      <c r="C21" t="s">
        <v>1178</v>
      </c>
      <c r="L21">
        <v>11</v>
      </c>
      <c r="M21" t="s">
        <v>1179</v>
      </c>
      <c r="N21" t="s">
        <v>1180</v>
      </c>
    </row>
    <row r="22" spans="1:15" x14ac:dyDescent="0.25">
      <c r="A22">
        <v>79</v>
      </c>
      <c r="B22" t="s">
        <v>1181</v>
      </c>
      <c r="C22" t="s">
        <v>1182</v>
      </c>
      <c r="L22">
        <v>19</v>
      </c>
      <c r="M22" t="s">
        <v>1183</v>
      </c>
      <c r="N22" t="s">
        <v>1180</v>
      </c>
    </row>
    <row r="23">
      <c r="A23" t="inlineStr">
        <is>
          <t xml:space="preserve">80</t>
        </is>
      </c>
      <c r="B23" t="inlineStr">
        <is>
          <t xml:space="preserve">Bore</t>
        </is>
      </c>
      <c r="C23" t="inlineStr">
        <is>
          <t xml:space="preserve">Mine (345)</t>
        </is>
      </c>
      <c r="D23" t="inlineStr">
        <is>
          <t xml:space="preserve">Bore after he left the party in Dor Kiredon. First talk gives 5000 EXP, trades amber chunks for navstones</t>
        </is>
      </c>
    </row>
    <row r="24">
      <c r="A24" t="inlineStr">
        <is>
          <t xml:space="preserve">24</t>
        </is>
      </c>
      <c r="B24" t="inlineStr">
        <is>
          <t xml:space="preserve">Bore</t>
        </is>
      </c>
      <c r="C24" t="inlineStr">
        <is>
          <t xml:space="preserve">Gemstone Ruinen (406)</t>
        </is>
      </c>
      <c r="D24" t="inlineStr">
        <is>
          <t xml:space="preserve">Now level 30. Hidden when leaving the forest moon (airship 436), replaced by party member 18</t>
        </is>
      </c>
    </row>
  </sheetData>
  <mergeCells count="1">
    <mergeCell ref="L20:O20"/>
  </mergeCells>
  <pageMargins left="0.7" right="0.7" top="0.78749999999999998" bottom="0.78749999999999998"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24"/>
  <sheetViews>
    <sheetView tabSelected="1" topLeftCell="A106" zoomScaleNormal="100" workbookViewId="0">
      <selection activeCell="A123" sqref="A123"/>
    </sheetView>
  </sheetViews>
  <sheetFormatPr baseColWidth="10" defaultColWidth="11.7109375" defaultRowHeight="15" x14ac:dyDescent="0.25"/>
  <cols>
    <col min="1" max="1" width="11.42578125" style="16" customWidth="1"/>
    <col min="2" max="2" width="36.42578125" customWidth="1"/>
    <col min="3" max="3" width="260.28515625" customWidth="1"/>
    <col min="6" max="6" width="22" customWidth="1"/>
    <col min="7" max="7" width="39.5703125" customWidth="1"/>
  </cols>
  <sheetData>
    <row r="1" spans="1:7" x14ac:dyDescent="0.25">
      <c r="A1" s="16" t="s">
        <v>481</v>
      </c>
      <c r="B1" t="s">
        <v>1126</v>
      </c>
      <c r="C1" t="s">
        <v>1184</v>
      </c>
      <c r="E1" s="69" t="s">
        <v>1185</v>
      </c>
      <c r="F1" s="69"/>
    </row>
    <row r="2" spans="1:7" x14ac:dyDescent="0.25">
      <c r="A2" s="16">
        <v>132</v>
      </c>
      <c r="B2" t="s">
        <v>1134</v>
      </c>
      <c r="C2" t="s">
        <v>1186</v>
      </c>
      <c r="E2" t="s">
        <v>481</v>
      </c>
      <c r="F2" t="s">
        <v>1126</v>
      </c>
      <c r="G2" t="s">
        <v>488</v>
      </c>
    </row>
    <row r="3" spans="1:7" x14ac:dyDescent="0.25">
      <c r="A3" s="16">
        <v>133</v>
      </c>
      <c r="B3" t="s">
        <v>1187</v>
      </c>
      <c r="C3" t="s">
        <v>1188</v>
      </c>
      <c r="E3">
        <v>12</v>
      </c>
      <c r="F3" t="s">
        <v>1189</v>
      </c>
      <c r="G3" t="s">
        <v>1190</v>
      </c>
    </row>
    <row r="4" spans="1:7" x14ac:dyDescent="0.25">
      <c r="A4" s="16">
        <v>134</v>
      </c>
      <c r="B4" t="s">
        <v>1187</v>
      </c>
      <c r="C4" t="s">
        <v>1191</v>
      </c>
      <c r="E4">
        <v>15</v>
      </c>
      <c r="F4" t="s">
        <v>1189</v>
      </c>
      <c r="G4" t="s">
        <v>1192</v>
      </c>
    </row>
    <row r="5" spans="1:7" x14ac:dyDescent="0.25">
      <c r="A5" s="16">
        <v>135</v>
      </c>
      <c r="B5" t="s">
        <v>1193</v>
      </c>
      <c r="C5" t="s">
        <v>1194</v>
      </c>
      <c r="E5">
        <v>124</v>
      </c>
      <c r="F5" t="s">
        <v>1189</v>
      </c>
      <c r="G5" t="s">
        <v>1195</v>
      </c>
    </row>
    <row r="6" spans="1:7" x14ac:dyDescent="0.25">
      <c r="A6" s="16">
        <v>136</v>
      </c>
      <c r="B6" t="s">
        <v>1187</v>
      </c>
      <c r="C6" t="s">
        <v>1196</v>
      </c>
      <c r="E6">
        <v>84</v>
      </c>
      <c r="F6" t="s">
        <v>1197</v>
      </c>
      <c r="G6" t="s">
        <v>1198</v>
      </c>
    </row>
    <row r="7" spans="1:7" x14ac:dyDescent="0.25">
      <c r="A7" s="16">
        <v>137</v>
      </c>
      <c r="B7" t="s">
        <v>1187</v>
      </c>
      <c r="C7" t="s">
        <v>1196</v>
      </c>
      <c r="E7">
        <v>27</v>
      </c>
      <c r="F7" t="s">
        <v>1199</v>
      </c>
      <c r="G7" t="s">
        <v>1200</v>
      </c>
    </row>
    <row r="8" spans="1:7" x14ac:dyDescent="0.25">
      <c r="A8" s="16">
        <v>138</v>
      </c>
      <c r="B8" t="s">
        <v>1193</v>
      </c>
      <c r="C8" t="s">
        <v>1201</v>
      </c>
      <c r="E8">
        <v>104</v>
      </c>
      <c r="F8" t="s">
        <v>1202</v>
      </c>
      <c r="G8" t="s">
        <v>1203</v>
      </c>
    </row>
    <row r="9" spans="1:7" x14ac:dyDescent="0.25">
      <c r="A9" s="16">
        <v>139</v>
      </c>
      <c r="B9" t="s">
        <v>1204</v>
      </c>
      <c r="C9" t="s">
        <v>1205</v>
      </c>
      <c r="E9">
        <v>45</v>
      </c>
      <c r="F9" t="s">
        <v>1206</v>
      </c>
      <c r="G9" t="s">
        <v>1207</v>
      </c>
    </row>
    <row r="10" spans="1:7" x14ac:dyDescent="0.25">
      <c r="A10" s="16">
        <v>140</v>
      </c>
      <c r="B10" t="s">
        <v>1204</v>
      </c>
      <c r="C10" t="s">
        <v>1208</v>
      </c>
    </row>
    <row r="11" spans="1:7" x14ac:dyDescent="0.25">
      <c r="A11" s="16">
        <v>141</v>
      </c>
      <c r="B11" t="s">
        <v>1204</v>
      </c>
      <c r="C11" t="s">
        <v>1209</v>
      </c>
    </row>
    <row r="12" spans="1:7" x14ac:dyDescent="0.25">
      <c r="A12" s="16">
        <v>142</v>
      </c>
      <c r="B12" t="s">
        <v>1204</v>
      </c>
      <c r="C12" t="s">
        <v>1210</v>
      </c>
    </row>
    <row r="13" spans="1:7" x14ac:dyDescent="0.25">
      <c r="A13" s="16">
        <v>143</v>
      </c>
      <c r="B13" t="s">
        <v>1211</v>
      </c>
      <c r="C13" t="s">
        <v>1212</v>
      </c>
    </row>
    <row r="14" spans="1:7" x14ac:dyDescent="0.25">
      <c r="A14" s="16">
        <v>144</v>
      </c>
      <c r="B14" t="s">
        <v>1211</v>
      </c>
      <c r="C14" t="s">
        <v>1213</v>
      </c>
    </row>
    <row r="15" spans="1:7" x14ac:dyDescent="0.25">
      <c r="A15" s="16">
        <v>145</v>
      </c>
      <c r="B15" t="s">
        <v>1211</v>
      </c>
      <c r="C15" t="s">
        <v>1214</v>
      </c>
    </row>
    <row r="16" spans="1:7" x14ac:dyDescent="0.25">
      <c r="A16" s="16">
        <v>146</v>
      </c>
      <c r="B16" t="s">
        <v>1215</v>
      </c>
      <c r="C16" t="s">
        <v>1216</v>
      </c>
      <c r="E16" s="69" t="s">
        <v>1217</v>
      </c>
      <c r="F16" s="69"/>
    </row>
    <row r="17" spans="1:8" x14ac:dyDescent="0.25">
      <c r="A17" s="16">
        <v>147</v>
      </c>
      <c r="B17" t="s">
        <v>1215</v>
      </c>
      <c r="C17" t="s">
        <v>1218</v>
      </c>
      <c r="E17" t="s">
        <v>481</v>
      </c>
      <c r="F17" t="s">
        <v>1219</v>
      </c>
      <c r="G17" t="s">
        <v>1220</v>
      </c>
      <c r="H17" t="s">
        <v>1184</v>
      </c>
    </row>
    <row r="18" spans="1:8" x14ac:dyDescent="0.25">
      <c r="A18" s="16">
        <v>148</v>
      </c>
      <c r="B18" t="s">
        <v>1215</v>
      </c>
      <c r="C18" t="s">
        <v>1221</v>
      </c>
      <c r="E18">
        <v>252</v>
      </c>
      <c r="F18" t="s">
        <v>1222</v>
      </c>
      <c r="G18">
        <v>384</v>
      </c>
      <c r="H18" t="s">
        <v>1223</v>
      </c>
    </row>
    <row r="19" spans="1:8" x14ac:dyDescent="0.25">
      <c r="A19" s="16">
        <v>149</v>
      </c>
      <c r="B19" t="s">
        <v>1224</v>
      </c>
      <c r="C19" t="s">
        <v>1225</v>
      </c>
    </row>
    <row r="20" spans="1:8" x14ac:dyDescent="0.25">
      <c r="A20" s="16">
        <v>150</v>
      </c>
      <c r="B20" t="s">
        <v>1224</v>
      </c>
      <c r="C20" t="s">
        <v>1226</v>
      </c>
    </row>
    <row r="21" spans="1:8" x14ac:dyDescent="0.25">
      <c r="A21" s="16">
        <v>151</v>
      </c>
      <c r="B21" t="s">
        <v>1224</v>
      </c>
      <c r="C21" t="s">
        <v>1227</v>
      </c>
      <c r="E21" s="69" t="s">
        <v>1228</v>
      </c>
      <c r="F21" s="69"/>
    </row>
    <row r="22" spans="1:8" x14ac:dyDescent="0.25">
      <c r="A22" s="16">
        <v>152</v>
      </c>
      <c r="B22" t="s">
        <v>1229</v>
      </c>
      <c r="C22" t="s">
        <v>1230</v>
      </c>
      <c r="E22" t="s">
        <v>1231</v>
      </c>
    </row>
    <row r="23" spans="1:8" x14ac:dyDescent="0.25">
      <c r="A23" s="16">
        <v>153</v>
      </c>
      <c r="B23" t="s">
        <v>1229</v>
      </c>
      <c r="C23" t="s">
        <v>1232</v>
      </c>
      <c r="E23" t="s">
        <v>1233</v>
      </c>
    </row>
    <row r="24" spans="1:8" x14ac:dyDescent="0.25">
      <c r="A24" s="16">
        <v>154</v>
      </c>
      <c r="B24" t="s">
        <v>1229</v>
      </c>
      <c r="C24" t="s">
        <v>1234</v>
      </c>
      <c r="E24" t="s">
        <v>1235</v>
      </c>
    </row>
    <row r="25" spans="1:8" x14ac:dyDescent="0.25">
      <c r="A25" s="16">
        <v>155</v>
      </c>
      <c r="B25" t="s">
        <v>1204</v>
      </c>
      <c r="C25" t="s">
        <v>1236</v>
      </c>
      <c r="E25" t="s">
        <v>1237</v>
      </c>
    </row>
    <row r="26" spans="1:8" x14ac:dyDescent="0.25">
      <c r="A26" s="16">
        <v>156</v>
      </c>
      <c r="B26" t="s">
        <v>1238</v>
      </c>
      <c r="C26" t="s">
        <v>1239</v>
      </c>
    </row>
    <row r="27" spans="1:8" x14ac:dyDescent="0.25">
      <c r="A27" s="16">
        <v>157</v>
      </c>
      <c r="B27" t="s">
        <v>1238</v>
      </c>
      <c r="C27" t="s">
        <v>1240</v>
      </c>
    </row>
    <row r="28" spans="1:8" x14ac:dyDescent="0.25">
      <c r="A28" s="16">
        <v>158</v>
      </c>
      <c r="B28" t="s">
        <v>1204</v>
      </c>
      <c r="C28" t="s">
        <v>1241</v>
      </c>
    </row>
    <row r="29" spans="1:8" x14ac:dyDescent="0.25">
      <c r="A29" s="16">
        <v>159</v>
      </c>
      <c r="B29" t="s">
        <v>1204</v>
      </c>
      <c r="C29" t="s">
        <v>1242</v>
      </c>
    </row>
    <row r="30" spans="1:8" x14ac:dyDescent="0.25">
      <c r="A30" s="16">
        <v>160</v>
      </c>
      <c r="B30" t="s">
        <v>1204</v>
      </c>
      <c r="C30" t="s">
        <v>1243</v>
      </c>
    </row>
    <row r="31" spans="1:8" x14ac:dyDescent="0.25">
      <c r="A31" s="16">
        <v>161</v>
      </c>
      <c r="B31" t="s">
        <v>1244</v>
      </c>
      <c r="C31" t="s">
        <v>1245</v>
      </c>
    </row>
    <row r="32" spans="1:8" x14ac:dyDescent="0.25">
      <c r="A32" s="16">
        <v>162</v>
      </c>
      <c r="B32" t="s">
        <v>1244</v>
      </c>
      <c r="C32" t="s">
        <v>1246</v>
      </c>
    </row>
    <row r="33" spans="1:3" x14ac:dyDescent="0.25">
      <c r="A33" s="16">
        <v>163</v>
      </c>
      <c r="B33" t="s">
        <v>1244</v>
      </c>
      <c r="C33" t="s">
        <v>1247</v>
      </c>
    </row>
    <row r="34" spans="1:3" x14ac:dyDescent="0.25">
      <c r="A34" s="16">
        <v>164</v>
      </c>
      <c r="B34" t="s">
        <v>1244</v>
      </c>
      <c r="C34" t="s">
        <v>1248</v>
      </c>
    </row>
    <row r="35" spans="1:3" x14ac:dyDescent="0.25">
      <c r="A35" s="16">
        <v>165</v>
      </c>
      <c r="B35" t="s">
        <v>1244</v>
      </c>
      <c r="C35" t="s">
        <v>1249</v>
      </c>
    </row>
    <row r="36" spans="1:3" x14ac:dyDescent="0.25">
      <c r="A36" s="16">
        <v>166</v>
      </c>
      <c r="B36" t="s">
        <v>1244</v>
      </c>
      <c r="C36" t="s">
        <v>1243</v>
      </c>
    </row>
    <row r="37" spans="1:3" x14ac:dyDescent="0.25">
      <c r="A37" s="16">
        <v>167</v>
      </c>
      <c r="B37" t="s">
        <v>1244</v>
      </c>
      <c r="C37" t="s">
        <v>1250</v>
      </c>
    </row>
    <row r="38" spans="1:3" x14ac:dyDescent="0.25">
      <c r="A38" s="16">
        <v>168</v>
      </c>
      <c r="B38" t="s">
        <v>1251</v>
      </c>
      <c r="C38" t="s">
        <v>1252</v>
      </c>
    </row>
    <row r="39" spans="1:3" x14ac:dyDescent="0.25">
      <c r="A39" s="16">
        <v>169</v>
      </c>
      <c r="B39" t="s">
        <v>1251</v>
      </c>
      <c r="C39" t="s">
        <v>1253</v>
      </c>
    </row>
    <row r="40" spans="1:3" x14ac:dyDescent="0.25">
      <c r="A40" s="16">
        <v>170</v>
      </c>
      <c r="B40" t="s">
        <v>1251</v>
      </c>
      <c r="C40" t="s">
        <v>1254</v>
      </c>
    </row>
    <row r="41" spans="1:3" x14ac:dyDescent="0.25">
      <c r="A41" s="16">
        <v>171</v>
      </c>
      <c r="B41" t="s">
        <v>1251</v>
      </c>
      <c r="C41" t="s">
        <v>1255</v>
      </c>
    </row>
    <row r="42" spans="1:3" x14ac:dyDescent="0.25">
      <c r="A42" s="16">
        <v>172</v>
      </c>
      <c r="B42" t="s">
        <v>1251</v>
      </c>
      <c r="C42" t="s">
        <v>1256</v>
      </c>
    </row>
    <row r="43" spans="1:3" x14ac:dyDescent="0.25">
      <c r="A43" s="16">
        <v>173</v>
      </c>
      <c r="B43" t="s">
        <v>1251</v>
      </c>
      <c r="C43" t="s">
        <v>1257</v>
      </c>
    </row>
    <row r="44" spans="1:3" x14ac:dyDescent="0.25">
      <c r="A44" s="16">
        <v>174</v>
      </c>
      <c r="B44" t="s">
        <v>1251</v>
      </c>
      <c r="C44" t="s">
        <v>1258</v>
      </c>
    </row>
    <row r="45" spans="1:3" x14ac:dyDescent="0.25">
      <c r="A45" s="16">
        <v>175</v>
      </c>
      <c r="B45" t="s">
        <v>1251</v>
      </c>
      <c r="C45" t="s">
        <v>1259</v>
      </c>
    </row>
    <row r="46" spans="1:3" x14ac:dyDescent="0.25">
      <c r="A46" s="16">
        <v>176</v>
      </c>
      <c r="B46" t="s">
        <v>1251</v>
      </c>
      <c r="C46" t="s">
        <v>1260</v>
      </c>
    </row>
    <row r="47" spans="1:3" x14ac:dyDescent="0.25">
      <c r="A47" s="16">
        <v>177</v>
      </c>
      <c r="B47" t="s">
        <v>1261</v>
      </c>
      <c r="C47" t="s">
        <v>1262</v>
      </c>
    </row>
    <row r="48" spans="1:3" x14ac:dyDescent="0.25">
      <c r="A48" s="16">
        <v>178</v>
      </c>
      <c r="B48" t="s">
        <v>1261</v>
      </c>
      <c r="C48" t="s">
        <v>1263</v>
      </c>
    </row>
    <row r="49" spans="1:3" x14ac:dyDescent="0.25">
      <c r="A49" s="16">
        <v>179</v>
      </c>
      <c r="B49" t="s">
        <v>1261</v>
      </c>
      <c r="C49" t="s">
        <v>1264</v>
      </c>
    </row>
    <row r="50" spans="1:3" x14ac:dyDescent="0.25">
      <c r="A50" s="16">
        <v>180</v>
      </c>
      <c r="B50" t="s">
        <v>1261</v>
      </c>
      <c r="C50" t="s">
        <v>1265</v>
      </c>
    </row>
    <row r="51" spans="1:3" x14ac:dyDescent="0.25">
      <c r="A51" s="16">
        <v>181</v>
      </c>
      <c r="B51" t="s">
        <v>1261</v>
      </c>
      <c r="C51" t="s">
        <v>1266</v>
      </c>
    </row>
    <row r="52" spans="1:3" x14ac:dyDescent="0.25">
      <c r="A52" s="16">
        <v>182</v>
      </c>
      <c r="B52" t="s">
        <v>1267</v>
      </c>
      <c r="C52" t="s">
        <v>1268</v>
      </c>
    </row>
    <row r="53" spans="1:3" x14ac:dyDescent="0.25">
      <c r="A53" s="16">
        <v>183</v>
      </c>
      <c r="B53" t="s">
        <v>1269</v>
      </c>
      <c r="C53" t="s">
        <v>1270</v>
      </c>
    </row>
    <row r="54" spans="1:3" x14ac:dyDescent="0.25">
      <c r="A54" s="16">
        <v>184</v>
      </c>
      <c r="B54" t="s">
        <v>1271</v>
      </c>
      <c r="C54" t="s">
        <v>1272</v>
      </c>
    </row>
    <row r="55" spans="1:3" x14ac:dyDescent="0.25">
      <c r="A55" s="16">
        <v>185</v>
      </c>
      <c r="B55" t="s">
        <v>1273</v>
      </c>
      <c r="C55" t="s">
        <v>1274</v>
      </c>
    </row>
    <row r="56" spans="1:3" x14ac:dyDescent="0.25">
      <c r="A56" s="16">
        <v>186</v>
      </c>
      <c r="B56" t="s">
        <v>1275</v>
      </c>
      <c r="C56" t="s">
        <v>1276</v>
      </c>
    </row>
    <row r="57" spans="1:3" x14ac:dyDescent="0.25">
      <c r="A57" s="16">
        <v>187</v>
      </c>
      <c r="B57" t="s">
        <v>1277</v>
      </c>
      <c r="C57" t="s">
        <v>1278</v>
      </c>
    </row>
    <row r="58" spans="1:3" x14ac:dyDescent="0.25">
      <c r="A58" s="16">
        <v>188</v>
      </c>
      <c r="B58" t="s">
        <v>1279</v>
      </c>
      <c r="C58" t="s">
        <v>1280</v>
      </c>
    </row>
    <row r="59" spans="1:3" x14ac:dyDescent="0.25">
      <c r="A59" s="16">
        <v>189</v>
      </c>
      <c r="B59" t="s">
        <v>1281</v>
      </c>
      <c r="C59" t="s">
        <v>1282</v>
      </c>
    </row>
    <row r="60" spans="1:3" x14ac:dyDescent="0.25">
      <c r="A60" s="16">
        <v>190</v>
      </c>
      <c r="B60" t="s">
        <v>1281</v>
      </c>
      <c r="C60" t="s">
        <v>1283</v>
      </c>
    </row>
    <row r="61" spans="1:3" x14ac:dyDescent="0.25">
      <c r="A61" s="16">
        <v>191</v>
      </c>
      <c r="B61" t="s">
        <v>1281</v>
      </c>
      <c r="C61" t="s">
        <v>1284</v>
      </c>
    </row>
    <row r="62" spans="1:3" x14ac:dyDescent="0.25">
      <c r="A62" s="16">
        <v>192</v>
      </c>
      <c r="B62" t="s">
        <v>1281</v>
      </c>
      <c r="C62" t="s">
        <v>1285</v>
      </c>
    </row>
    <row r="63" spans="1:3" x14ac:dyDescent="0.25">
      <c r="A63" s="16">
        <v>193</v>
      </c>
      <c r="B63" t="s">
        <v>1281</v>
      </c>
      <c r="C63" t="s">
        <v>1286</v>
      </c>
    </row>
    <row r="64" spans="1:3" x14ac:dyDescent="0.25">
      <c r="A64" s="16">
        <v>194</v>
      </c>
      <c r="B64" t="s">
        <v>1281</v>
      </c>
      <c r="C64" t="s">
        <v>1287</v>
      </c>
    </row>
    <row r="65" spans="1:3" x14ac:dyDescent="0.25">
      <c r="A65" s="16">
        <v>195</v>
      </c>
      <c r="B65" t="s">
        <v>1281</v>
      </c>
      <c r="C65" t="s">
        <v>1288</v>
      </c>
    </row>
    <row r="66" spans="1:3" x14ac:dyDescent="0.25">
      <c r="A66" s="16">
        <v>196</v>
      </c>
      <c r="B66" t="s">
        <v>1281</v>
      </c>
      <c r="C66" t="s">
        <v>1289</v>
      </c>
    </row>
    <row r="67" spans="1:3" x14ac:dyDescent="0.25">
      <c r="A67" s="16">
        <v>197</v>
      </c>
      <c r="B67" t="s">
        <v>1143</v>
      </c>
      <c r="C67" t="s">
        <v>1290</v>
      </c>
    </row>
    <row r="68" spans="1:3" x14ac:dyDescent="0.25">
      <c r="A68" s="16">
        <v>198</v>
      </c>
      <c r="B68" t="s">
        <v>1143</v>
      </c>
      <c r="C68" t="s">
        <v>1291</v>
      </c>
    </row>
    <row r="69" spans="1:3" x14ac:dyDescent="0.25">
      <c r="A69" s="16">
        <v>199</v>
      </c>
      <c r="B69" t="s">
        <v>1143</v>
      </c>
      <c r="C69" t="s">
        <v>1292</v>
      </c>
    </row>
    <row r="70" spans="1:3" x14ac:dyDescent="0.25">
      <c r="A70" s="16">
        <v>200</v>
      </c>
      <c r="B70" t="s">
        <v>1143</v>
      </c>
      <c r="C70" t="s">
        <v>1293</v>
      </c>
    </row>
    <row r="71" spans="1:3" x14ac:dyDescent="0.25">
      <c r="A71" s="16">
        <v>201</v>
      </c>
      <c r="B71" t="s">
        <v>1143</v>
      </c>
      <c r="C71" t="s">
        <v>1294</v>
      </c>
    </row>
    <row r="72" spans="1:3" x14ac:dyDescent="0.25">
      <c r="A72" s="16">
        <v>202</v>
      </c>
      <c r="B72" t="s">
        <v>1261</v>
      </c>
      <c r="C72" t="s">
        <v>1295</v>
      </c>
    </row>
    <row r="73" spans="1:3" x14ac:dyDescent="0.25">
      <c r="A73" s="16" t="s">
        <v>1296</v>
      </c>
      <c r="B73" t="s">
        <v>1273</v>
      </c>
      <c r="C73" t="s">
        <v>1297</v>
      </c>
    </row>
    <row r="74" spans="1:3" x14ac:dyDescent="0.25">
      <c r="A74" s="16" t="s">
        <v>1298</v>
      </c>
      <c r="B74" t="s">
        <v>1273</v>
      </c>
      <c r="C74" t="s">
        <v>1299</v>
      </c>
    </row>
    <row r="75" spans="1:3" x14ac:dyDescent="0.25">
      <c r="A75" s="16" t="s">
        <v>1300</v>
      </c>
      <c r="B75" t="s">
        <v>1301</v>
      </c>
      <c r="C75" t="s">
        <v>1302</v>
      </c>
    </row>
    <row r="76" spans="1:3" x14ac:dyDescent="0.25">
      <c r="A76" s="16" t="s">
        <v>1303</v>
      </c>
      <c r="B76" t="s">
        <v>1281</v>
      </c>
      <c r="C76" t="s">
        <v>1304</v>
      </c>
    </row>
    <row r="77" spans="1:3" x14ac:dyDescent="0.25">
      <c r="A77" s="16" t="s">
        <v>1305</v>
      </c>
      <c r="B77" t="s">
        <v>1281</v>
      </c>
      <c r="C77" t="s">
        <v>1306</v>
      </c>
    </row>
    <row r="78" spans="1:3" x14ac:dyDescent="0.25">
      <c r="A78" s="16" t="s">
        <v>1307</v>
      </c>
      <c r="B78" t="s">
        <v>1308</v>
      </c>
      <c r="C78" t="s">
        <v>1309</v>
      </c>
    </row>
    <row r="79" spans="1:3" x14ac:dyDescent="0.25">
      <c r="A79" s="16" t="s">
        <v>1310</v>
      </c>
      <c r="B79" t="s">
        <v>1308</v>
      </c>
      <c r="C79" t="s">
        <v>1311</v>
      </c>
    </row>
    <row r="80" spans="1:3" x14ac:dyDescent="0.25">
      <c r="A80" s="16" t="s">
        <v>1312</v>
      </c>
      <c r="B80" t="s">
        <v>1308</v>
      </c>
      <c r="C80" t="s">
        <v>1313</v>
      </c>
    </row>
    <row r="81" spans="1:3" x14ac:dyDescent="0.25">
      <c r="A81" s="16" t="s">
        <v>1314</v>
      </c>
      <c r="B81" t="s">
        <v>1308</v>
      </c>
      <c r="C81" t="s">
        <v>1315</v>
      </c>
    </row>
    <row r="82" spans="1:3" x14ac:dyDescent="0.25">
      <c r="A82" s="16" t="s">
        <v>1316</v>
      </c>
      <c r="B82" t="s">
        <v>1308</v>
      </c>
      <c r="C82" t="s">
        <v>1317</v>
      </c>
    </row>
    <row r="83" spans="1:3" x14ac:dyDescent="0.25">
      <c r="A83" s="16" t="s">
        <v>1318</v>
      </c>
      <c r="B83" t="s">
        <v>1308</v>
      </c>
      <c r="C83" t="s">
        <v>1319</v>
      </c>
    </row>
    <row r="84" spans="1:3" x14ac:dyDescent="0.25">
      <c r="A84" s="16" t="s">
        <v>1320</v>
      </c>
      <c r="B84" t="s">
        <v>1321</v>
      </c>
      <c r="C84" t="s">
        <v>1322</v>
      </c>
    </row>
    <row r="85" spans="1:3" x14ac:dyDescent="0.25">
      <c r="A85" s="16" t="s">
        <v>1323</v>
      </c>
      <c r="B85" t="s">
        <v>1321</v>
      </c>
      <c r="C85" t="s">
        <v>1324</v>
      </c>
    </row>
    <row r="86" spans="1:3" x14ac:dyDescent="0.25">
      <c r="A86" s="16" t="s">
        <v>1325</v>
      </c>
      <c r="B86" t="s">
        <v>1326</v>
      </c>
      <c r="C86" t="s">
        <v>1327</v>
      </c>
    </row>
    <row r="87" spans="1:3" x14ac:dyDescent="0.25">
      <c r="A87" s="16" t="s">
        <v>1328</v>
      </c>
      <c r="B87" t="s">
        <v>1329</v>
      </c>
      <c r="C87" t="s">
        <v>1330</v>
      </c>
    </row>
    <row r="88" spans="1:3" x14ac:dyDescent="0.25">
      <c r="A88" s="16" t="s">
        <v>1331</v>
      </c>
      <c r="B88" t="s">
        <v>1308</v>
      </c>
      <c r="C88" t="s">
        <v>1332</v>
      </c>
    </row>
    <row r="89" spans="1:3" x14ac:dyDescent="0.25">
      <c r="A89" s="16" t="s">
        <v>1333</v>
      </c>
      <c r="B89" t="s">
        <v>1334</v>
      </c>
      <c r="C89" t="s">
        <v>1335</v>
      </c>
    </row>
    <row r="90" spans="1:3" x14ac:dyDescent="0.25">
      <c r="A90" s="16" t="s">
        <v>1336</v>
      </c>
      <c r="B90" t="s">
        <v>1337</v>
      </c>
      <c r="C90" t="s">
        <v>1338</v>
      </c>
    </row>
    <row r="91" spans="1:3" x14ac:dyDescent="0.25">
      <c r="A91" s="16" t="s">
        <v>1339</v>
      </c>
      <c r="B91" t="s">
        <v>1337</v>
      </c>
      <c r="C91" t="s">
        <v>1340</v>
      </c>
    </row>
    <row r="92" spans="1:3" x14ac:dyDescent="0.25">
      <c r="A92" s="16" t="s">
        <v>1341</v>
      </c>
      <c r="B92" t="s">
        <v>1337</v>
      </c>
      <c r="C92" t="s">
        <v>1243</v>
      </c>
    </row>
    <row r="93" spans="1:3" x14ac:dyDescent="0.25">
      <c r="A93" s="16" t="s">
        <v>1342</v>
      </c>
      <c r="B93" t="s">
        <v>1337</v>
      </c>
      <c r="C93" t="s">
        <v>1343</v>
      </c>
    </row>
    <row r="94" spans="1:3" x14ac:dyDescent="0.25">
      <c r="A94" s="16" t="s">
        <v>1344</v>
      </c>
      <c r="B94" t="s">
        <v>1337</v>
      </c>
      <c r="C94" t="s">
        <v>1345</v>
      </c>
    </row>
    <row r="95" spans="1:3" x14ac:dyDescent="0.25">
      <c r="A95" s="16" t="s">
        <v>1346</v>
      </c>
      <c r="B95" t="s">
        <v>1337</v>
      </c>
      <c r="C95" t="s">
        <v>1347</v>
      </c>
    </row>
    <row r="96" spans="1:3" x14ac:dyDescent="0.25">
      <c r="A96" s="16" t="s">
        <v>1348</v>
      </c>
      <c r="B96" t="s">
        <v>1349</v>
      </c>
      <c r="C96" t="s">
        <v>1350</v>
      </c>
    </row>
    <row r="97" spans="1:3" x14ac:dyDescent="0.25">
      <c r="A97" s="16" t="s">
        <v>1351</v>
      </c>
      <c r="B97" t="s">
        <v>1352</v>
      </c>
      <c r="C97" t="s">
        <v>1353</v>
      </c>
    </row>
    <row r="98" spans="1:3" x14ac:dyDescent="0.25">
      <c r="A98" s="16" t="s">
        <v>1354</v>
      </c>
      <c r="B98" t="s">
        <v>1352</v>
      </c>
      <c r="C98" t="s">
        <v>1355</v>
      </c>
    </row>
    <row r="99" spans="1:3" x14ac:dyDescent="0.25">
      <c r="A99" s="16" t="s">
        <v>1356</v>
      </c>
      <c r="B99" t="s">
        <v>1352</v>
      </c>
      <c r="C99" t="s">
        <v>1357</v>
      </c>
    </row>
    <row r="100" spans="1:3" x14ac:dyDescent="0.25">
      <c r="A100" s="16" t="s">
        <v>1358</v>
      </c>
      <c r="B100" t="s">
        <v>1359</v>
      </c>
      <c r="C100" t="s">
        <v>1360</v>
      </c>
    </row>
    <row r="101" spans="1:3" x14ac:dyDescent="0.25">
      <c r="A101" s="16" t="s">
        <v>1361</v>
      </c>
      <c r="B101" t="s">
        <v>1362</v>
      </c>
      <c r="C101" t="s">
        <v>1363</v>
      </c>
    </row>
    <row r="102" spans="1:3" x14ac:dyDescent="0.25">
      <c r="A102" s="16" t="s">
        <v>1364</v>
      </c>
      <c r="B102" t="s">
        <v>1174</v>
      </c>
      <c r="C102" t="s">
        <v>1365</v>
      </c>
    </row>
    <row r="103" spans="1:3" x14ac:dyDescent="0.25">
      <c r="A103" s="16" t="s">
        <v>1366</v>
      </c>
      <c r="B103" t="s">
        <v>1367</v>
      </c>
      <c r="C103" t="s">
        <v>1368</v>
      </c>
    </row>
    <row r="104" spans="1:3" x14ac:dyDescent="0.25">
      <c r="A104" s="16" t="s">
        <v>1369</v>
      </c>
      <c r="B104" t="s">
        <v>1174</v>
      </c>
      <c r="C104" t="s">
        <v>1370</v>
      </c>
    </row>
    <row r="105" spans="1:3" x14ac:dyDescent="0.25">
      <c r="A105" s="16" t="s">
        <v>1371</v>
      </c>
      <c r="B105" t="s">
        <v>1372</v>
      </c>
      <c r="C105" t="s">
        <v>1373</v>
      </c>
    </row>
    <row r="106" spans="1:3" x14ac:dyDescent="0.25">
      <c r="A106" s="16" t="s">
        <v>1374</v>
      </c>
      <c r="B106" t="s">
        <v>1372</v>
      </c>
      <c r="C106" t="s">
        <v>1375</v>
      </c>
    </row>
    <row r="107" spans="1:3" x14ac:dyDescent="0.25">
      <c r="A107" s="16" t="s">
        <v>1376</v>
      </c>
      <c r="B107" t="s">
        <v>1372</v>
      </c>
      <c r="C107" t="s">
        <v>1377</v>
      </c>
    </row>
    <row r="108" spans="1:3" x14ac:dyDescent="0.25">
      <c r="A108" s="16" t="s">
        <v>1378</v>
      </c>
      <c r="B108" t="s">
        <v>1372</v>
      </c>
      <c r="C108" t="s">
        <v>1377</v>
      </c>
    </row>
    <row r="109" spans="1:3" x14ac:dyDescent="0.25">
      <c r="A109" s="16" t="s">
        <v>1379</v>
      </c>
      <c r="B109" t="s">
        <v>1372</v>
      </c>
      <c r="C109" t="s">
        <v>1380</v>
      </c>
    </row>
    <row r="110" spans="1:3" x14ac:dyDescent="0.25">
      <c r="A110" s="16" t="s">
        <v>1381</v>
      </c>
      <c r="B110" t="s">
        <v>1178</v>
      </c>
      <c r="C110" t="s">
        <v>1380</v>
      </c>
    </row>
    <row r="111" spans="1:3" x14ac:dyDescent="0.25">
      <c r="A111" s="16" t="s">
        <v>1382</v>
      </c>
      <c r="B111" t="s">
        <v>1383</v>
      </c>
      <c r="C111" t="s">
        <v>1384</v>
      </c>
    </row>
    <row r="112" spans="1:3" x14ac:dyDescent="0.25">
      <c r="A112" s="16" t="s">
        <v>1385</v>
      </c>
      <c r="B112" t="s">
        <v>1383</v>
      </c>
      <c r="C112" t="s">
        <v>1386</v>
      </c>
    </row>
    <row r="113" spans="1:3" x14ac:dyDescent="0.25">
      <c r="A113" s="16" t="s">
        <v>1387</v>
      </c>
      <c r="B113" t="s">
        <v>1383</v>
      </c>
      <c r="C113" t="s">
        <v>1388</v>
      </c>
    </row>
    <row r="114" spans="1:3" x14ac:dyDescent="0.25">
      <c r="A114" s="16" t="s">
        <v>1389</v>
      </c>
      <c r="B114" t="s">
        <v>1383</v>
      </c>
      <c r="C114" t="s">
        <v>1390</v>
      </c>
    </row>
    <row r="115" spans="1:3" x14ac:dyDescent="0.25">
      <c r="A115" s="16" t="s">
        <v>1391</v>
      </c>
      <c r="B115" t="s">
        <v>1383</v>
      </c>
      <c r="C115" t="s">
        <v>1392</v>
      </c>
    </row>
    <row r="116" spans="1:3" x14ac:dyDescent="0.25">
      <c r="A116" s="16" t="s">
        <v>1393</v>
      </c>
      <c r="B116" t="s">
        <v>1383</v>
      </c>
      <c r="C116" t="s">
        <v>1394</v>
      </c>
    </row>
    <row r="117" spans="1:3" x14ac:dyDescent="0.25">
      <c r="A117" s="16" t="s">
        <v>1395</v>
      </c>
      <c r="B117" t="s">
        <v>1383</v>
      </c>
      <c r="C117" t="s">
        <v>1396</v>
      </c>
    </row>
    <row r="118" spans="1:3" x14ac:dyDescent="0.25">
      <c r="A118" s="16" t="s">
        <v>1397</v>
      </c>
      <c r="B118" t="s">
        <v>1383</v>
      </c>
      <c r="C118" t="s">
        <v>1398</v>
      </c>
    </row>
    <row r="119" spans="1:3" x14ac:dyDescent="0.25">
      <c r="A119" s="16" t="s">
        <v>1399</v>
      </c>
      <c r="B119" t="s">
        <v>1383</v>
      </c>
      <c r="C119" t="s">
        <v>1400</v>
      </c>
    </row>
    <row r="120" spans="1:3" x14ac:dyDescent="0.25">
      <c r="A120" s="16" t="s">
        <v>1401</v>
      </c>
      <c r="B120" t="s">
        <v>1402</v>
      </c>
      <c r="C120" t="s">
        <v>1403</v>
      </c>
    </row>
    <row r="121" spans="1:3" x14ac:dyDescent="0.25">
      <c r="A121" s="16" t="s">
        <v>1404</v>
      </c>
      <c r="B121" t="s">
        <v>1402</v>
      </c>
      <c r="C121" t="s">
        <v>1405</v>
      </c>
    </row>
    <row r="122" spans="1:3" x14ac:dyDescent="0.25">
      <c r="A122" s="16" t="s">
        <v>1406</v>
      </c>
      <c r="B122" t="s">
        <v>1402</v>
      </c>
      <c r="C122" t="s">
        <v>1407</v>
      </c>
    </row>
    <row r="123">
      <c r="A123" t="inlineStr">
        <is>
          <t xml:space="preserve">307 (X051)</t>
        </is>
      </c>
      <c r="B123" t="inlineStr">
        <is>
          <t xml:space="preserve">Mine Dor Kiredon (345)</t>
        </is>
      </c>
      <c r="C123" t="inlineStr">
        <is>
          <t xml:space="preserve">Bore's equipment (filled by the remove party member event)</t>
        </is>
      </c>
    </row>
    <row r="124">
      <c r="A124" t="inlineStr">
        <is>
          <t xml:space="preserve">308 (X052)</t>
        </is>
      </c>
      <c r="B124" t="inlineStr">
        <is>
          <t xml:space="preserve">Mine Dor Kiredon (345)</t>
        </is>
      </c>
      <c r="C124" t="inlineStr">
        <is>
          <t xml:space="preserve">Bore's items (filled by the remove party member event)</t>
        </is>
      </c>
    </row>
  </sheetData>
  <mergeCells count="3">
    <mergeCell ref="E1:F1"/>
    <mergeCell ref="E16:F16"/>
    <mergeCell ref="E21:F21"/>
  </mergeCells>
  <pageMargins left="0.7" right="0.7" top="0.78749999999999998" bottom="0.78749999999999998"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33"/>
  <sheetViews>
    <sheetView topLeftCell="A7" zoomScaleNormal="100" workbookViewId="0">
      <selection activeCell="A34" sqref="A34"/>
    </sheetView>
  </sheetViews>
  <sheetFormatPr baseColWidth="10" defaultColWidth="11.7109375" defaultRowHeight="15" x14ac:dyDescent="0.25"/>
  <cols>
    <col min="2" max="2" width="27.42578125" customWidth="1"/>
  </cols>
  <sheetData>
    <row r="1" spans="1:2" x14ac:dyDescent="0.25">
      <c r="A1" t="s">
        <v>1408</v>
      </c>
      <c r="B1" t="s">
        <v>477</v>
      </c>
    </row>
    <row r="2" spans="1:2" x14ac:dyDescent="0.25">
      <c r="A2">
        <v>39</v>
      </c>
      <c r="B2" t="s">
        <v>1409</v>
      </c>
    </row>
    <row r="3" spans="1:2" x14ac:dyDescent="0.25">
      <c r="A3">
        <v>40</v>
      </c>
      <c r="B3" t="s">
        <v>1410</v>
      </c>
    </row>
    <row r="4" spans="1:2" x14ac:dyDescent="0.25">
      <c r="A4">
        <v>41</v>
      </c>
      <c r="B4" t="s">
        <v>1411</v>
      </c>
    </row>
    <row r="5" spans="1:2" x14ac:dyDescent="0.25">
      <c r="A5">
        <v>42</v>
      </c>
      <c r="B5" t="s">
        <v>1412</v>
      </c>
    </row>
    <row r="6" spans="1:2" x14ac:dyDescent="0.25">
      <c r="A6">
        <v>43</v>
      </c>
      <c r="B6" t="s">
        <v>1413</v>
      </c>
    </row>
    <row r="7" spans="1:2" x14ac:dyDescent="0.25">
      <c r="A7">
        <v>44</v>
      </c>
      <c r="B7" t="s">
        <v>1414</v>
      </c>
    </row>
    <row r="8" spans="1:2" x14ac:dyDescent="0.25">
      <c r="A8">
        <v>45</v>
      </c>
      <c r="B8" t="s">
        <v>1415</v>
      </c>
    </row>
    <row r="9" spans="1:2" x14ac:dyDescent="0.25">
      <c r="A9">
        <v>46</v>
      </c>
      <c r="B9" t="s">
        <v>1416</v>
      </c>
    </row>
    <row r="10" spans="1:2" x14ac:dyDescent="0.25">
      <c r="A10">
        <v>47</v>
      </c>
      <c r="B10" t="s">
        <v>1417</v>
      </c>
    </row>
    <row r="11" spans="1:2" x14ac:dyDescent="0.25">
      <c r="A11">
        <v>48</v>
      </c>
      <c r="B11" t="s">
        <v>1418</v>
      </c>
    </row>
    <row r="12" spans="1:2" x14ac:dyDescent="0.25">
      <c r="A12">
        <v>49</v>
      </c>
      <c r="B12" t="s">
        <v>1419</v>
      </c>
    </row>
    <row r="13" spans="1:2" x14ac:dyDescent="0.25">
      <c r="A13">
        <v>50</v>
      </c>
      <c r="B13" t="s">
        <v>1420</v>
      </c>
    </row>
    <row r="14" spans="1:2" x14ac:dyDescent="0.25">
      <c r="A14">
        <v>51</v>
      </c>
      <c r="B14" t="s">
        <v>1421</v>
      </c>
    </row>
    <row r="15" spans="1:2" x14ac:dyDescent="0.25">
      <c r="A15">
        <v>52</v>
      </c>
      <c r="B15" t="s">
        <v>1422</v>
      </c>
    </row>
    <row r="16" spans="1:2" x14ac:dyDescent="0.25">
      <c r="A16">
        <v>53</v>
      </c>
      <c r="B16" t="s">
        <v>1423</v>
      </c>
    </row>
    <row r="17" spans="1:2" x14ac:dyDescent="0.25">
      <c r="A17">
        <v>54</v>
      </c>
      <c r="B17" t="s">
        <v>1424</v>
      </c>
    </row>
    <row r="18" spans="1:2" x14ac:dyDescent="0.25">
      <c r="A18">
        <v>55</v>
      </c>
      <c r="B18" t="s">
        <v>1425</v>
      </c>
    </row>
    <row r="19" spans="1:2" x14ac:dyDescent="0.25">
      <c r="A19">
        <v>56</v>
      </c>
      <c r="B19" t="s">
        <v>1426</v>
      </c>
    </row>
    <row r="20" spans="1:2" x14ac:dyDescent="0.25">
      <c r="A20">
        <v>57</v>
      </c>
      <c r="B20" t="s">
        <v>1427</v>
      </c>
    </row>
    <row r="21" spans="1:2" x14ac:dyDescent="0.25">
      <c r="A21">
        <v>58</v>
      </c>
      <c r="B21" t="s">
        <v>1428</v>
      </c>
    </row>
    <row r="22" spans="1:2" x14ac:dyDescent="0.25">
      <c r="A22">
        <v>59</v>
      </c>
      <c r="B22" t="s">
        <v>1429</v>
      </c>
    </row>
    <row r="23" spans="1:2" x14ac:dyDescent="0.25">
      <c r="A23">
        <v>60</v>
      </c>
      <c r="B23" t="s">
        <v>1430</v>
      </c>
    </row>
    <row r="24" spans="1:2" x14ac:dyDescent="0.25">
      <c r="A24">
        <v>61</v>
      </c>
      <c r="B24" t="s">
        <v>1431</v>
      </c>
    </row>
    <row r="25" spans="1:2" x14ac:dyDescent="0.25">
      <c r="A25">
        <v>62</v>
      </c>
      <c r="B25" t="s">
        <v>1432</v>
      </c>
    </row>
    <row r="26" spans="1:2" x14ac:dyDescent="0.25">
      <c r="A26">
        <v>63</v>
      </c>
      <c r="B26" t="s">
        <v>1433</v>
      </c>
    </row>
    <row r="27" spans="1:2" x14ac:dyDescent="0.25">
      <c r="A27">
        <v>64</v>
      </c>
      <c r="B27" t="s">
        <v>1434</v>
      </c>
    </row>
    <row r="28" spans="1:2" x14ac:dyDescent="0.25">
      <c r="A28">
        <v>65</v>
      </c>
      <c r="B28" t="s">
        <v>1435</v>
      </c>
    </row>
    <row r="29" spans="1:2" x14ac:dyDescent="0.25">
      <c r="A29">
        <v>66</v>
      </c>
      <c r="B29" t="s">
        <v>1436</v>
      </c>
    </row>
    <row r="30" spans="1:2" x14ac:dyDescent="0.25">
      <c r="A30">
        <v>67</v>
      </c>
      <c r="B30" t="s">
        <v>1437</v>
      </c>
    </row>
    <row r="31" spans="1:2" x14ac:dyDescent="0.25">
      <c r="A31">
        <v>68</v>
      </c>
      <c r="B31" t="s">
        <v>1438</v>
      </c>
    </row>
    <row r="32" spans="1:2" x14ac:dyDescent="0.25">
      <c r="A32">
        <v>69</v>
      </c>
      <c r="B32" t="s">
        <v>1439</v>
      </c>
    </row>
    <row r="33" spans="1:2" x14ac:dyDescent="0.25">
      <c r="A33">
        <v>70</v>
      </c>
      <c r="B33" t="s">
        <v>1440</v>
      </c>
    </row>
  </sheetData>
  <pageMargins left="0.7" right="0.7" top="0.78749999999999998" bottom="0.78749999999999998"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28"/>
  <sheetViews>
    <sheetView topLeftCell="A7" zoomScaleNormal="100" workbookViewId="0">
      <selection activeCell="C22" sqref="C22"/>
    </sheetView>
  </sheetViews>
  <sheetFormatPr baseColWidth="10" defaultColWidth="11.7109375" defaultRowHeight="15" x14ac:dyDescent="0.25"/>
  <cols>
    <col min="1" max="1" width="14.5703125" customWidth="1"/>
    <col min="2" max="2" width="27.7109375" customWidth="1"/>
    <col min="3" max="3" width="99.7109375" customWidth="1"/>
  </cols>
  <sheetData>
    <row r="1" spans="1:3" x14ac:dyDescent="0.25">
      <c r="A1" t="s">
        <v>1441</v>
      </c>
      <c r="B1" t="s">
        <v>483</v>
      </c>
      <c r="C1" t="s">
        <v>1442</v>
      </c>
    </row>
    <row r="2" spans="1:3" x14ac:dyDescent="0.25">
      <c r="A2">
        <v>66</v>
      </c>
      <c r="B2" t="s">
        <v>1443</v>
      </c>
      <c r="C2" t="s">
        <v>1444</v>
      </c>
    </row>
    <row r="3" spans="1:3" x14ac:dyDescent="0.25">
      <c r="A3">
        <v>67</v>
      </c>
      <c r="B3" t="s">
        <v>1443</v>
      </c>
      <c r="C3" t="s">
        <v>1445</v>
      </c>
    </row>
    <row r="4" spans="1:3" x14ac:dyDescent="0.25">
      <c r="A4">
        <v>68</v>
      </c>
      <c r="B4" t="s">
        <v>1446</v>
      </c>
      <c r="C4" t="s">
        <v>1447</v>
      </c>
    </row>
    <row r="5" spans="1:3" x14ac:dyDescent="0.25">
      <c r="A5">
        <v>69</v>
      </c>
      <c r="B5" t="s">
        <v>1448</v>
      </c>
      <c r="C5" t="s">
        <v>1449</v>
      </c>
    </row>
    <row r="6" spans="1:3" x14ac:dyDescent="0.25">
      <c r="A6">
        <v>70</v>
      </c>
      <c r="B6" t="s">
        <v>1450</v>
      </c>
      <c r="C6" t="s">
        <v>1451</v>
      </c>
    </row>
    <row r="7" spans="1:3" x14ac:dyDescent="0.25">
      <c r="A7">
        <v>71</v>
      </c>
      <c r="B7" t="s">
        <v>1452</v>
      </c>
      <c r="C7" t="s">
        <v>1453</v>
      </c>
    </row>
    <row r="8" spans="1:3" x14ac:dyDescent="0.25">
      <c r="A8">
        <v>72</v>
      </c>
      <c r="B8" t="s">
        <v>1443</v>
      </c>
      <c r="C8" t="s">
        <v>1454</v>
      </c>
    </row>
    <row r="9" spans="1:3" x14ac:dyDescent="0.25">
      <c r="A9">
        <v>73</v>
      </c>
      <c r="B9" t="s">
        <v>1455</v>
      </c>
      <c r="C9" t="s">
        <v>1456</v>
      </c>
    </row>
    <row r="10" spans="1:3" x14ac:dyDescent="0.25">
      <c r="A10">
        <v>74</v>
      </c>
      <c r="B10" t="s">
        <v>5</v>
      </c>
      <c r="C10" t="s">
        <v>6</v>
      </c>
    </row>
    <row r="11" spans="1:3" x14ac:dyDescent="0.25">
      <c r="A11">
        <v>75</v>
      </c>
      <c r="B11" t="s">
        <v>8</v>
      </c>
      <c r="C11" t="s">
        <v>1457</v>
      </c>
    </row>
    <row r="12" spans="1:3" x14ac:dyDescent="0.25">
      <c r="A12">
        <v>76</v>
      </c>
      <c r="B12" t="s">
        <v>1458</v>
      </c>
      <c r="C12" t="s">
        <v>1459</v>
      </c>
    </row>
    <row r="13" spans="1:3" x14ac:dyDescent="0.25">
      <c r="A13">
        <v>77</v>
      </c>
      <c r="B13" t="s">
        <v>1443</v>
      </c>
      <c r="C13" t="s">
        <v>1459</v>
      </c>
    </row>
    <row r="16" spans="1:3" x14ac:dyDescent="0.25">
      <c r="A16" t="s">
        <v>1460</v>
      </c>
      <c r="B16" t="s">
        <v>1461</v>
      </c>
      <c r="C16" t="s">
        <v>1462</v>
      </c>
    </row>
    <row r="17" spans="1:3" x14ac:dyDescent="0.25">
      <c r="A17">
        <v>19</v>
      </c>
      <c r="B17" t="s">
        <v>1463</v>
      </c>
      <c r="C17" t="s">
        <v>1464</v>
      </c>
    </row>
    <row r="18" spans="1:3" x14ac:dyDescent="0.25">
      <c r="A18">
        <v>20</v>
      </c>
      <c r="B18" t="s">
        <v>1465</v>
      </c>
      <c r="C18" t="s">
        <v>1466</v>
      </c>
    </row>
    <row r="19" spans="1:3" x14ac:dyDescent="0.25">
      <c r="A19">
        <v>21</v>
      </c>
      <c r="B19" t="s">
        <v>1467</v>
      </c>
      <c r="C19" t="s">
        <v>1468</v>
      </c>
    </row>
    <row r="20" spans="1:3" x14ac:dyDescent="0.25">
      <c r="A20">
        <v>22</v>
      </c>
      <c r="B20" t="s">
        <v>6</v>
      </c>
    </row>
    <row r="21" spans="1:3" x14ac:dyDescent="0.25">
      <c r="A21">
        <v>23</v>
      </c>
      <c r="B21" t="s">
        <v>1469</v>
      </c>
      <c r="C21" t="s">
        <v>1470</v>
      </c>
    </row>
    <row r="22" spans="1:3" x14ac:dyDescent="0.25">
      <c r="A22">
        <v>24</v>
      </c>
      <c r="B22" t="s">
        <v>1471</v>
      </c>
      <c r="C22" t="s">
        <v>1472</v>
      </c>
    </row>
    <row r="25" spans="1:3" x14ac:dyDescent="0.25">
      <c r="A25" t="s">
        <v>1473</v>
      </c>
    </row>
    <row r="26" spans="1:3" x14ac:dyDescent="0.25">
      <c r="A26">
        <v>11</v>
      </c>
      <c r="B26" t="s">
        <v>1474</v>
      </c>
      <c r="C26" t="s">
        <v>1475</v>
      </c>
    </row>
    <row r="27" spans="1:3" x14ac:dyDescent="0.25">
      <c r="A27">
        <v>14</v>
      </c>
      <c r="B27" t="s">
        <v>1476</v>
      </c>
      <c r="C27" t="s">
        <v>1477</v>
      </c>
    </row>
    <row r="28" spans="1:3" x14ac:dyDescent="0.25">
      <c r="A28">
        <v>32</v>
      </c>
      <c r="B28" t="s">
        <v>1478</v>
      </c>
      <c r="C28" t="s">
        <v>1479</v>
      </c>
    </row>
  </sheetData>
  <pageMargins left="0.7" right="0.7" top="0.78749999999999998" bottom="0.78749999999999998"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3"/>
  <sheetViews>
    <sheetView zoomScaleNormal="100" workbookViewId="0">
      <selection activeCell="A4" sqref="A4"/>
    </sheetView>
  </sheetViews>
  <sheetFormatPr baseColWidth="10" defaultColWidth="11.7109375" defaultRowHeight="15" x14ac:dyDescent="0.25"/>
  <cols>
    <col min="1" max="1" width="16.28515625" customWidth="1"/>
  </cols>
  <sheetData>
    <row r="1" spans="1:2" x14ac:dyDescent="0.25">
      <c r="A1" s="4" t="s">
        <v>1480</v>
      </c>
      <c r="B1" s="4" t="s">
        <v>1481</v>
      </c>
    </row>
    <row r="2" spans="1:2" x14ac:dyDescent="0.25">
      <c r="A2" t="s">
        <v>1482</v>
      </c>
      <c r="B2" t="s">
        <v>1483</v>
      </c>
    </row>
    <row r="3" spans="1:2" x14ac:dyDescent="0.25">
      <c r="A3" t="s">
        <v>1484</v>
      </c>
      <c r="B3" t="s">
        <v>1485</v>
      </c>
    </row>
  </sheetData>
  <pageMargins left="0.7" right="0.7" top="0.78749999999999998" bottom="0.78749999999999998"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N28"/>
  <sheetViews>
    <sheetView zoomScaleNormal="100" workbookViewId="0">
      <selection activeCell="B21" sqref="B21"/>
    </sheetView>
  </sheetViews>
  <sheetFormatPr baseColWidth="10" defaultColWidth="11.7109375" defaultRowHeight="15" x14ac:dyDescent="0.25"/>
  <cols>
    <col min="1" max="1" width="14" customWidth="1"/>
    <col min="2" max="2" width="46.28515625" customWidth="1"/>
    <col min="6" max="6" width="13" customWidth="1"/>
    <col min="7" max="7" width="14" customWidth="1"/>
    <col min="8" max="8" width="12" customWidth="1"/>
    <col min="9" max="9" width="11.42578125" customWidth="1"/>
    <col min="10" max="10" width="15.5703125" customWidth="1"/>
    <col min="11" max="11" width="16.7109375" customWidth="1"/>
    <col min="15" max="15" width="13" customWidth="1"/>
    <col min="16" max="16" width="14" customWidth="1"/>
  </cols>
  <sheetData>
    <row r="1" spans="1:14" x14ac:dyDescent="0.25">
      <c r="A1" s="17" t="s">
        <v>1486</v>
      </c>
      <c r="B1" s="18" t="s">
        <v>1481</v>
      </c>
      <c r="E1" s="75" t="s">
        <v>1487</v>
      </c>
      <c r="F1" s="75"/>
      <c r="G1" s="75"/>
    </row>
    <row r="2" spans="1:14" x14ac:dyDescent="0.25">
      <c r="A2" t="s">
        <v>1488</v>
      </c>
      <c r="B2" t="s">
        <v>1489</v>
      </c>
    </row>
    <row r="3" spans="1:14" x14ac:dyDescent="0.25">
      <c r="A3" t="s">
        <v>1488</v>
      </c>
      <c r="B3" t="s">
        <v>1490</v>
      </c>
      <c r="E3" t="s">
        <v>1491</v>
      </c>
    </row>
    <row r="4" spans="1:14" x14ac:dyDescent="0.25">
      <c r="A4" t="s">
        <v>1492</v>
      </c>
      <c r="B4" t="s">
        <v>1493</v>
      </c>
      <c r="E4" s="19" t="s">
        <v>1494</v>
      </c>
      <c r="F4" s="20" t="s">
        <v>1495</v>
      </c>
      <c r="G4" s="21" t="s">
        <v>1496</v>
      </c>
      <c r="I4" s="22" t="s">
        <v>1497</v>
      </c>
      <c r="J4" s="21" t="s">
        <v>1498</v>
      </c>
      <c r="K4" s="22" t="s">
        <v>1499</v>
      </c>
      <c r="L4" s="21" t="s">
        <v>1500</v>
      </c>
      <c r="M4" s="22" t="s">
        <v>1501</v>
      </c>
      <c r="N4" s="23" t="s">
        <v>1502</v>
      </c>
    </row>
    <row r="5" spans="1:14" x14ac:dyDescent="0.25">
      <c r="A5" t="s">
        <v>1492</v>
      </c>
      <c r="B5" t="s">
        <v>1490</v>
      </c>
      <c r="E5" s="24" t="s">
        <v>1503</v>
      </c>
      <c r="F5" s="25">
        <v>75</v>
      </c>
      <c r="G5" s="26">
        <v>75</v>
      </c>
      <c r="I5" s="27">
        <f t="shared" ref="I5:I14" si="0">50*F5</f>
        <v>3750</v>
      </c>
      <c r="J5" s="26">
        <f t="shared" ref="J5:J14" si="1">50*G5</f>
        <v>3750</v>
      </c>
      <c r="K5" s="27">
        <f t="shared" ref="K5:K14" si="2">325*F5</f>
        <v>24375</v>
      </c>
      <c r="L5" s="26">
        <f t="shared" ref="L5:L14" si="3">325*G5</f>
        <v>24375</v>
      </c>
      <c r="M5" s="27">
        <f t="shared" ref="M5:M14" si="4">1250*F5</f>
        <v>93750</v>
      </c>
      <c r="N5" s="28">
        <f t="shared" ref="N5:N14" si="5">1250*G5</f>
        <v>93750</v>
      </c>
    </row>
    <row r="6" spans="1:14" x14ac:dyDescent="0.25">
      <c r="A6" t="s">
        <v>1488</v>
      </c>
      <c r="B6" t="s">
        <v>1504</v>
      </c>
      <c r="E6" s="24" t="s">
        <v>1505</v>
      </c>
      <c r="F6" s="25">
        <v>150</v>
      </c>
      <c r="G6" s="29">
        <v>110</v>
      </c>
      <c r="I6" s="27">
        <f t="shared" si="0"/>
        <v>7500</v>
      </c>
      <c r="J6" s="26">
        <f t="shared" si="1"/>
        <v>5500</v>
      </c>
      <c r="K6" s="27">
        <f t="shared" si="2"/>
        <v>48750</v>
      </c>
      <c r="L6" s="26">
        <f t="shared" si="3"/>
        <v>35750</v>
      </c>
      <c r="M6" s="27">
        <f t="shared" si="4"/>
        <v>187500</v>
      </c>
      <c r="N6" s="28">
        <f t="shared" si="5"/>
        <v>137500</v>
      </c>
    </row>
    <row r="7" spans="1:14" x14ac:dyDescent="0.25">
      <c r="A7" t="s">
        <v>1492</v>
      </c>
      <c r="B7" t="s">
        <v>1504</v>
      </c>
      <c r="E7" s="24" t="s">
        <v>1506</v>
      </c>
      <c r="F7" s="25">
        <v>180</v>
      </c>
      <c r="G7" s="29">
        <v>155</v>
      </c>
      <c r="I7" s="27">
        <f t="shared" si="0"/>
        <v>9000</v>
      </c>
      <c r="J7" s="26">
        <f t="shared" si="1"/>
        <v>7750</v>
      </c>
      <c r="K7" s="27">
        <f t="shared" si="2"/>
        <v>58500</v>
      </c>
      <c r="L7" s="26">
        <f t="shared" si="3"/>
        <v>50375</v>
      </c>
      <c r="M7" s="27">
        <f t="shared" si="4"/>
        <v>225000</v>
      </c>
      <c r="N7" s="28">
        <f t="shared" si="5"/>
        <v>193750</v>
      </c>
    </row>
    <row r="8" spans="1:14" x14ac:dyDescent="0.25">
      <c r="A8" t="s">
        <v>1507</v>
      </c>
      <c r="B8" t="s">
        <v>1508</v>
      </c>
      <c r="E8" s="24" t="s">
        <v>1509</v>
      </c>
      <c r="F8" s="25">
        <v>100</v>
      </c>
      <c r="G8" s="29">
        <v>85</v>
      </c>
      <c r="I8" s="27">
        <f t="shared" si="0"/>
        <v>5000</v>
      </c>
      <c r="J8" s="26">
        <f t="shared" si="1"/>
        <v>4250</v>
      </c>
      <c r="K8" s="27">
        <f t="shared" si="2"/>
        <v>32500</v>
      </c>
      <c r="L8" s="26">
        <f t="shared" si="3"/>
        <v>27625</v>
      </c>
      <c r="M8" s="27">
        <f t="shared" si="4"/>
        <v>125000</v>
      </c>
      <c r="N8" s="28">
        <f t="shared" si="5"/>
        <v>106250</v>
      </c>
    </row>
    <row r="9" spans="1:14" x14ac:dyDescent="0.25">
      <c r="A9" t="s">
        <v>1507</v>
      </c>
      <c r="B9" t="s">
        <v>1510</v>
      </c>
      <c r="E9" s="24" t="s">
        <v>1511</v>
      </c>
      <c r="F9" s="25">
        <v>125</v>
      </c>
      <c r="G9" s="26">
        <v>125</v>
      </c>
      <c r="I9" s="27">
        <f t="shared" si="0"/>
        <v>6250</v>
      </c>
      <c r="J9" s="26">
        <f t="shared" si="1"/>
        <v>6250</v>
      </c>
      <c r="K9" s="27">
        <f t="shared" si="2"/>
        <v>40625</v>
      </c>
      <c r="L9" s="26">
        <f t="shared" si="3"/>
        <v>40625</v>
      </c>
      <c r="M9" s="27">
        <f t="shared" si="4"/>
        <v>156250</v>
      </c>
      <c r="N9" s="28">
        <f t="shared" si="5"/>
        <v>156250</v>
      </c>
    </row>
    <row r="10" spans="1:14" x14ac:dyDescent="0.25">
      <c r="A10" t="s">
        <v>1507</v>
      </c>
      <c r="B10" t="s">
        <v>1512</v>
      </c>
      <c r="E10" s="24" t="s">
        <v>1513</v>
      </c>
      <c r="F10" s="25">
        <v>90</v>
      </c>
      <c r="G10" s="26">
        <v>90</v>
      </c>
      <c r="I10" s="27">
        <f t="shared" si="0"/>
        <v>4500</v>
      </c>
      <c r="J10" s="26">
        <f t="shared" si="1"/>
        <v>4500</v>
      </c>
      <c r="K10" s="27">
        <f t="shared" si="2"/>
        <v>29250</v>
      </c>
      <c r="L10" s="26">
        <f t="shared" si="3"/>
        <v>29250</v>
      </c>
      <c r="M10" s="27">
        <f t="shared" si="4"/>
        <v>112500</v>
      </c>
      <c r="N10" s="28">
        <f t="shared" si="5"/>
        <v>112500</v>
      </c>
    </row>
    <row r="11" spans="1:14" x14ac:dyDescent="0.25">
      <c r="A11" t="s">
        <v>1514</v>
      </c>
      <c r="B11" t="s">
        <v>1515</v>
      </c>
      <c r="E11" s="24" t="s">
        <v>17</v>
      </c>
      <c r="F11" s="25">
        <v>90</v>
      </c>
      <c r="G11" s="29">
        <v>85</v>
      </c>
      <c r="I11" s="27">
        <f t="shared" si="0"/>
        <v>4500</v>
      </c>
      <c r="J11" s="26">
        <f t="shared" si="1"/>
        <v>4250</v>
      </c>
      <c r="K11" s="27">
        <f t="shared" si="2"/>
        <v>29250</v>
      </c>
      <c r="L11" s="26">
        <f t="shared" si="3"/>
        <v>27625</v>
      </c>
      <c r="M11" s="27">
        <f t="shared" si="4"/>
        <v>112500</v>
      </c>
      <c r="N11" s="28">
        <f t="shared" si="5"/>
        <v>106250</v>
      </c>
    </row>
    <row r="12" spans="1:14" x14ac:dyDescent="0.25">
      <c r="A12" t="s">
        <v>1514</v>
      </c>
      <c r="B12" t="s">
        <v>1516</v>
      </c>
      <c r="E12" s="24" t="s">
        <v>1517</v>
      </c>
      <c r="F12" s="25">
        <v>90</v>
      </c>
      <c r="G12" s="29">
        <v>80</v>
      </c>
      <c r="I12" s="27">
        <f t="shared" si="0"/>
        <v>4500</v>
      </c>
      <c r="J12" s="26">
        <f t="shared" si="1"/>
        <v>4000</v>
      </c>
      <c r="K12" s="27">
        <f t="shared" si="2"/>
        <v>29250</v>
      </c>
      <c r="L12" s="26">
        <f t="shared" si="3"/>
        <v>26000</v>
      </c>
      <c r="M12" s="27">
        <f t="shared" si="4"/>
        <v>112500</v>
      </c>
      <c r="N12" s="28">
        <f t="shared" si="5"/>
        <v>100000</v>
      </c>
    </row>
    <row r="13" spans="1:14" x14ac:dyDescent="0.25">
      <c r="A13" t="s">
        <v>1514</v>
      </c>
      <c r="B13" t="s">
        <v>1504</v>
      </c>
      <c r="E13" s="24" t="s">
        <v>1518</v>
      </c>
      <c r="F13" s="25">
        <v>95</v>
      </c>
      <c r="G13" s="26">
        <v>95</v>
      </c>
      <c r="I13" s="27">
        <f t="shared" si="0"/>
        <v>4750</v>
      </c>
      <c r="J13" s="26">
        <f t="shared" si="1"/>
        <v>4750</v>
      </c>
      <c r="K13" s="27">
        <f t="shared" si="2"/>
        <v>30875</v>
      </c>
      <c r="L13" s="26">
        <f t="shared" si="3"/>
        <v>30875</v>
      </c>
      <c r="M13" s="27">
        <f t="shared" si="4"/>
        <v>118750</v>
      </c>
      <c r="N13" s="28">
        <f t="shared" si="5"/>
        <v>118750</v>
      </c>
    </row>
    <row r="14" spans="1:14" x14ac:dyDescent="0.25">
      <c r="A14" t="s">
        <v>1519</v>
      </c>
      <c r="B14" t="s">
        <v>1520</v>
      </c>
      <c r="E14" s="30" t="s">
        <v>1521</v>
      </c>
      <c r="F14" s="31">
        <v>32767</v>
      </c>
      <c r="G14" s="32">
        <v>32767</v>
      </c>
      <c r="I14" s="33">
        <f t="shared" si="0"/>
        <v>1638350</v>
      </c>
      <c r="J14" s="32">
        <f t="shared" si="1"/>
        <v>1638350</v>
      </c>
      <c r="K14" s="33">
        <f t="shared" si="2"/>
        <v>10649275</v>
      </c>
      <c r="L14" s="32">
        <f t="shared" si="3"/>
        <v>10649275</v>
      </c>
      <c r="M14" s="33">
        <f t="shared" si="4"/>
        <v>40958750</v>
      </c>
      <c r="N14" s="34">
        <f t="shared" si="5"/>
        <v>40958750</v>
      </c>
    </row>
    <row r="15" spans="1:14" x14ac:dyDescent="0.25">
      <c r="A15" t="s">
        <v>1519</v>
      </c>
      <c r="B15" t="s">
        <v>1522</v>
      </c>
    </row>
    <row r="16" spans="1:14" x14ac:dyDescent="0.25">
      <c r="A16" t="s">
        <v>1523</v>
      </c>
      <c r="B16" t="s">
        <v>1524</v>
      </c>
    </row>
    <row r="17" spans="1:11" x14ac:dyDescent="0.25">
      <c r="A17" t="s">
        <v>1525</v>
      </c>
      <c r="B17" t="s">
        <v>1526</v>
      </c>
      <c r="E17" s="22" t="s">
        <v>1486</v>
      </c>
      <c r="F17" s="35" t="s">
        <v>1527</v>
      </c>
      <c r="G17" s="35" t="s">
        <v>1528</v>
      </c>
      <c r="H17" s="35" t="s">
        <v>1529</v>
      </c>
      <c r="I17" s="35" t="s">
        <v>1530</v>
      </c>
      <c r="J17" s="35" t="s">
        <v>1531</v>
      </c>
      <c r="K17" s="21" t="s">
        <v>1532</v>
      </c>
    </row>
    <row r="18" spans="1:11" x14ac:dyDescent="0.25">
      <c r="A18" t="s">
        <v>1525</v>
      </c>
      <c r="B18" t="s">
        <v>1533</v>
      </c>
      <c r="E18" s="27" t="s">
        <v>1534</v>
      </c>
      <c r="F18" s="36">
        <v>75</v>
      </c>
      <c r="G18" s="36">
        <v>75</v>
      </c>
      <c r="H18" s="36">
        <f t="shared" ref="H18:I21" si="6">IF(MOD(ROUNDDOWN(SQRT(2*F18/J18),0),2)=0,ROUNDDOWN(SQRT(2*F18/J18),0),ROUNDDOWN(-0.5+SQRT(0.25+2*F18/J18),0))</f>
        <v>1</v>
      </c>
      <c r="I18" s="36">
        <f t="shared" si="6"/>
        <v>1</v>
      </c>
      <c r="J18" s="36">
        <f>F5</f>
        <v>75</v>
      </c>
      <c r="K18" s="26">
        <f>G5</f>
        <v>75</v>
      </c>
    </row>
    <row r="19" spans="1:11" x14ac:dyDescent="0.25">
      <c r="A19" t="s">
        <v>1525</v>
      </c>
      <c r="B19" t="s">
        <v>1535</v>
      </c>
      <c r="E19" s="27" t="s">
        <v>1536</v>
      </c>
      <c r="F19" s="36">
        <v>59850</v>
      </c>
      <c r="G19" s="36">
        <v>59850</v>
      </c>
      <c r="H19" s="36">
        <f t="shared" si="6"/>
        <v>35</v>
      </c>
      <c r="I19" s="36">
        <f t="shared" si="6"/>
        <v>35</v>
      </c>
      <c r="J19" s="36">
        <f>F13</f>
        <v>95</v>
      </c>
      <c r="K19" s="26">
        <f>G13</f>
        <v>95</v>
      </c>
    </row>
    <row r="20" spans="1:11" x14ac:dyDescent="0.25">
      <c r="A20" t="s">
        <v>1537</v>
      </c>
      <c r="B20" t="s">
        <v>1538</v>
      </c>
      <c r="E20" s="27" t="s">
        <v>1523</v>
      </c>
      <c r="F20" s="36">
        <v>150</v>
      </c>
      <c r="G20" s="37">
        <v>110</v>
      </c>
      <c r="H20" s="36">
        <f t="shared" si="6"/>
        <v>1</v>
      </c>
      <c r="I20" s="36">
        <f t="shared" si="6"/>
        <v>1</v>
      </c>
      <c r="J20" s="36">
        <f>F6</f>
        <v>150</v>
      </c>
      <c r="K20" s="26">
        <f>G6</f>
        <v>110</v>
      </c>
    </row>
    <row r="21" spans="1:11" x14ac:dyDescent="0.25">
      <c r="E21" s="27" t="s">
        <v>1525</v>
      </c>
      <c r="F21" s="36">
        <v>600</v>
      </c>
      <c r="G21" s="37">
        <v>550</v>
      </c>
      <c r="H21" s="36">
        <f t="shared" si="6"/>
        <v>3</v>
      </c>
      <c r="I21" s="36">
        <f t="shared" si="6"/>
        <v>3</v>
      </c>
      <c r="J21" s="36">
        <f>F8</f>
        <v>100</v>
      </c>
      <c r="K21" s="26">
        <f>G8</f>
        <v>85</v>
      </c>
    </row>
    <row r="22" spans="1:11" x14ac:dyDescent="0.25">
      <c r="E22" s="27" t="s">
        <v>1539</v>
      </c>
      <c r="F22" s="36">
        <v>950</v>
      </c>
      <c r="G22" s="36">
        <v>950</v>
      </c>
      <c r="H22" s="36">
        <f t="shared" ref="H22:I27" si="7">ROUNDDOWN(-0.5+SQRT(0.25+2*F22/J22),0)</f>
        <v>4</v>
      </c>
      <c r="I22" s="36">
        <f t="shared" si="7"/>
        <v>4</v>
      </c>
      <c r="J22" s="36">
        <f>F13</f>
        <v>95</v>
      </c>
      <c r="K22" s="26">
        <f>G13</f>
        <v>95</v>
      </c>
    </row>
    <row r="23" spans="1:11" x14ac:dyDescent="0.25">
      <c r="E23" s="27" t="s">
        <v>1514</v>
      </c>
      <c r="F23" s="36">
        <v>1890</v>
      </c>
      <c r="G23" s="36">
        <v>1890</v>
      </c>
      <c r="H23" s="36">
        <f t="shared" si="7"/>
        <v>6</v>
      </c>
      <c r="I23" s="36">
        <f t="shared" si="7"/>
        <v>6</v>
      </c>
      <c r="J23" s="36">
        <f>F10</f>
        <v>90</v>
      </c>
      <c r="K23" s="26">
        <f>G10</f>
        <v>90</v>
      </c>
    </row>
    <row r="24" spans="1:11" x14ac:dyDescent="0.25">
      <c r="E24" s="27" t="s">
        <v>1507</v>
      </c>
      <c r="F24" s="36">
        <v>4500</v>
      </c>
      <c r="G24" s="36">
        <v>4500</v>
      </c>
      <c r="H24" s="36">
        <f t="shared" si="7"/>
        <v>8</v>
      </c>
      <c r="I24" s="36">
        <f t="shared" si="7"/>
        <v>8</v>
      </c>
      <c r="J24" s="36">
        <f>F9</f>
        <v>125</v>
      </c>
      <c r="K24" s="26">
        <f>G9</f>
        <v>125</v>
      </c>
    </row>
    <row r="25" spans="1:11" x14ac:dyDescent="0.25">
      <c r="E25" s="27" t="s">
        <v>1492</v>
      </c>
      <c r="F25" s="36">
        <v>12240</v>
      </c>
      <c r="G25" s="37">
        <v>11500</v>
      </c>
      <c r="H25" s="36">
        <f t="shared" si="7"/>
        <v>16</v>
      </c>
      <c r="I25" s="36">
        <f t="shared" si="7"/>
        <v>16</v>
      </c>
      <c r="J25" s="36">
        <f>F12</f>
        <v>90</v>
      </c>
      <c r="K25" s="26">
        <f>G12</f>
        <v>80</v>
      </c>
    </row>
    <row r="26" spans="1:11" x14ac:dyDescent="0.25">
      <c r="E26" s="27" t="s">
        <v>1488</v>
      </c>
      <c r="F26" s="36">
        <v>29250</v>
      </c>
      <c r="G26" s="37">
        <v>28750</v>
      </c>
      <c r="H26" s="36">
        <f t="shared" si="7"/>
        <v>25</v>
      </c>
      <c r="I26" s="36">
        <f t="shared" si="7"/>
        <v>25</v>
      </c>
      <c r="J26" s="36">
        <f>F11</f>
        <v>90</v>
      </c>
      <c r="K26" s="26">
        <f>G11</f>
        <v>85</v>
      </c>
    </row>
    <row r="27" spans="1:11" x14ac:dyDescent="0.25">
      <c r="E27" s="33" t="s">
        <v>1519</v>
      </c>
      <c r="F27" s="38">
        <v>113400</v>
      </c>
      <c r="G27" s="39">
        <v>100000</v>
      </c>
      <c r="H27" s="38">
        <f t="shared" si="7"/>
        <v>35</v>
      </c>
      <c r="I27" s="38">
        <f t="shared" si="7"/>
        <v>35</v>
      </c>
      <c r="J27" s="38">
        <f>F7</f>
        <v>180</v>
      </c>
      <c r="K27" s="32">
        <f>G7</f>
        <v>155</v>
      </c>
    </row>
    <row r="28">
      <c r="A28" t="inlineStr">
        <is>
          <t xml:space="preserve">Bore</t>
        </is>
      </c>
      <c r="B28" t="inlineStr">
        <is>
          <t xml:space="preserve">New party member 18: dwarf warrior level 30, 480 LP, 7 APR, helmet, war hammer, chain mail, dwarf shield, leather boots</t>
        </is>
      </c>
    </row>
  </sheetData>
  <mergeCells count="1">
    <mergeCell ref="E1:G1"/>
  </mergeCells>
  <pageMargins left="0.7" right="0.7" top="0.78749999999999998" bottom="0.78749999999999998"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
  <sheetViews>
    <sheetView zoomScaleNormal="100" workbookViewId="0">
      <selection activeCell="A2" sqref="A2"/>
    </sheetView>
  </sheetViews>
  <sheetFormatPr baseColWidth="10" defaultColWidth="11.7109375" defaultRowHeight="15" x14ac:dyDescent="0.25"/>
  <sheetData>
    <row r="1" spans="1:1" x14ac:dyDescent="0.25">
      <c r="A1" t="s">
        <v>1540</v>
      </c>
    </row>
  </sheetData>
  <pageMargins left="0.7" right="0.7" top="0.78749999999999998" bottom="0.78749999999999998"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42"/>
  <sheetViews>
    <sheetView topLeftCell="A13" zoomScaleNormal="100" workbookViewId="0">
      <selection activeCell="A42" sqref="A42"/>
    </sheetView>
  </sheetViews>
  <sheetFormatPr baseColWidth="10" defaultColWidth="11.7109375" defaultRowHeight="15" x14ac:dyDescent="0.25"/>
  <cols>
    <col min="2" max="2" width="32" customWidth="1"/>
    <col min="3" max="3" width="30.85546875" customWidth="1"/>
    <col min="4" max="4" width="31.140625" customWidth="1"/>
    <col min="5" max="5" width="44.85546875" customWidth="1"/>
  </cols>
  <sheetData>
    <row r="1" spans="1:5" x14ac:dyDescent="0.25">
      <c r="A1" s="40" t="s">
        <v>1541</v>
      </c>
      <c r="B1" s="41" t="s">
        <v>477</v>
      </c>
      <c r="C1" s="41" t="s">
        <v>1072</v>
      </c>
      <c r="D1" s="41" t="s">
        <v>1542</v>
      </c>
      <c r="E1" s="42" t="s">
        <v>1543</v>
      </c>
    </row>
    <row r="2" spans="1:5" x14ac:dyDescent="0.25">
      <c r="A2">
        <v>39</v>
      </c>
      <c r="B2" t="s">
        <v>1544</v>
      </c>
      <c r="C2" t="s">
        <v>994</v>
      </c>
      <c r="D2" t="s">
        <v>1545</v>
      </c>
      <c r="E2" t="s">
        <v>1546</v>
      </c>
    </row>
    <row r="3" spans="1:5" x14ac:dyDescent="0.25">
      <c r="A3">
        <v>153</v>
      </c>
      <c r="B3" t="s">
        <v>1547</v>
      </c>
      <c r="C3" t="s">
        <v>994</v>
      </c>
      <c r="D3" t="s">
        <v>1545</v>
      </c>
      <c r="E3" t="s">
        <v>1546</v>
      </c>
    </row>
    <row r="4" spans="1:5" x14ac:dyDescent="0.25">
      <c r="A4">
        <v>86</v>
      </c>
      <c r="B4" t="s">
        <v>1548</v>
      </c>
      <c r="C4" t="s">
        <v>994</v>
      </c>
      <c r="D4" t="s">
        <v>1545</v>
      </c>
      <c r="E4" t="s">
        <v>1546</v>
      </c>
    </row>
    <row r="5" spans="1:5" x14ac:dyDescent="0.25">
      <c r="A5">
        <v>154</v>
      </c>
      <c r="B5" t="s">
        <v>1549</v>
      </c>
      <c r="C5" t="s">
        <v>994</v>
      </c>
      <c r="D5" t="s">
        <v>1545</v>
      </c>
      <c r="E5" t="s">
        <v>1546</v>
      </c>
    </row>
    <row r="6" spans="1:5" x14ac:dyDescent="0.25">
      <c r="A6">
        <v>374</v>
      </c>
      <c r="B6" t="s">
        <v>1550</v>
      </c>
      <c r="C6" t="s">
        <v>1551</v>
      </c>
      <c r="D6" t="s">
        <v>1552</v>
      </c>
      <c r="E6" t="s">
        <v>1496</v>
      </c>
    </row>
    <row r="7" spans="1:5" x14ac:dyDescent="0.25">
      <c r="A7">
        <v>375</v>
      </c>
      <c r="B7" t="s">
        <v>1553</v>
      </c>
      <c r="C7" t="s">
        <v>994</v>
      </c>
      <c r="D7" t="s">
        <v>1545</v>
      </c>
      <c r="E7" t="s">
        <v>1496</v>
      </c>
    </row>
    <row r="8" spans="1:5" x14ac:dyDescent="0.25">
      <c r="A8">
        <v>376</v>
      </c>
      <c r="B8" t="s">
        <v>1554</v>
      </c>
      <c r="C8" t="s">
        <v>1087</v>
      </c>
      <c r="D8" t="s">
        <v>1552</v>
      </c>
      <c r="E8" t="s">
        <v>1496</v>
      </c>
    </row>
    <row r="9" spans="1:5" x14ac:dyDescent="0.25">
      <c r="A9">
        <v>377</v>
      </c>
      <c r="B9" t="s">
        <v>1555</v>
      </c>
      <c r="C9" t="s">
        <v>1081</v>
      </c>
      <c r="D9" t="s">
        <v>1545</v>
      </c>
      <c r="E9" t="s">
        <v>1546</v>
      </c>
    </row>
    <row r="10" spans="1:5" x14ac:dyDescent="0.25">
      <c r="A10">
        <v>378</v>
      </c>
      <c r="B10" t="s">
        <v>1556</v>
      </c>
      <c r="C10" t="s">
        <v>1081</v>
      </c>
      <c r="D10" t="s">
        <v>1545</v>
      </c>
      <c r="E10" t="s">
        <v>1496</v>
      </c>
    </row>
    <row r="11" spans="1:5" x14ac:dyDescent="0.25">
      <c r="A11">
        <v>379</v>
      </c>
      <c r="B11" t="s">
        <v>1557</v>
      </c>
      <c r="C11" t="s">
        <v>1081</v>
      </c>
      <c r="D11" t="s">
        <v>1545</v>
      </c>
      <c r="E11" t="s">
        <v>1496</v>
      </c>
    </row>
    <row r="12" spans="1:5" x14ac:dyDescent="0.25">
      <c r="A12">
        <v>380</v>
      </c>
      <c r="B12" t="s">
        <v>1558</v>
      </c>
      <c r="C12" t="s">
        <v>1559</v>
      </c>
      <c r="D12" t="s">
        <v>1560</v>
      </c>
      <c r="E12" t="s">
        <v>1561</v>
      </c>
    </row>
    <row r="13" spans="1:5" x14ac:dyDescent="0.25">
      <c r="A13">
        <v>381</v>
      </c>
      <c r="B13" t="s">
        <v>1562</v>
      </c>
      <c r="C13" t="s">
        <v>1563</v>
      </c>
      <c r="D13" t="s">
        <v>1545</v>
      </c>
      <c r="E13" t="s">
        <v>1496</v>
      </c>
    </row>
    <row r="14" spans="1:5" x14ac:dyDescent="0.25">
      <c r="A14">
        <v>382</v>
      </c>
      <c r="B14" t="s">
        <v>1564</v>
      </c>
      <c r="C14" t="s">
        <v>1563</v>
      </c>
      <c r="D14" t="s">
        <v>1545</v>
      </c>
      <c r="E14" t="s">
        <v>1496</v>
      </c>
    </row>
    <row r="15" spans="1:5" x14ac:dyDescent="0.25">
      <c r="A15">
        <v>383</v>
      </c>
      <c r="B15" t="s">
        <v>1565</v>
      </c>
      <c r="C15" t="s">
        <v>1563</v>
      </c>
      <c r="D15" t="s">
        <v>1545</v>
      </c>
      <c r="E15" t="s">
        <v>1566</v>
      </c>
    </row>
    <row r="16" spans="1:5" x14ac:dyDescent="0.25">
      <c r="A16">
        <v>384</v>
      </c>
      <c r="B16" t="s">
        <v>1567</v>
      </c>
      <c r="C16" t="s">
        <v>1563</v>
      </c>
      <c r="D16" t="s">
        <v>1545</v>
      </c>
      <c r="E16" t="s">
        <v>1568</v>
      </c>
    </row>
    <row r="17" spans="1:5" x14ac:dyDescent="0.25">
      <c r="A17">
        <v>385</v>
      </c>
      <c r="B17" t="s">
        <v>1569</v>
      </c>
      <c r="C17" t="s">
        <v>1570</v>
      </c>
      <c r="D17" t="s">
        <v>1545</v>
      </c>
      <c r="E17" t="s">
        <v>1566</v>
      </c>
    </row>
    <row r="18" spans="1:5" x14ac:dyDescent="0.25">
      <c r="A18">
        <v>386</v>
      </c>
      <c r="B18" t="s">
        <v>1571</v>
      </c>
      <c r="C18" t="s">
        <v>1572</v>
      </c>
      <c r="D18" t="s">
        <v>1560</v>
      </c>
      <c r="E18" t="s">
        <v>1573</v>
      </c>
    </row>
    <row r="19" spans="1:5" x14ac:dyDescent="0.25">
      <c r="A19">
        <v>387</v>
      </c>
      <c r="B19" t="s">
        <v>1574</v>
      </c>
      <c r="C19" t="s">
        <v>1089</v>
      </c>
      <c r="D19" t="s">
        <v>1545</v>
      </c>
      <c r="E19" t="s">
        <v>1561</v>
      </c>
    </row>
    <row r="20" spans="1:5" x14ac:dyDescent="0.25">
      <c r="A20">
        <v>388</v>
      </c>
      <c r="B20" t="s">
        <v>1575</v>
      </c>
      <c r="C20" t="s">
        <v>1089</v>
      </c>
      <c r="D20" t="s">
        <v>1545</v>
      </c>
      <c r="E20" t="s">
        <v>1496</v>
      </c>
    </row>
    <row r="21" spans="1:5" x14ac:dyDescent="0.25">
      <c r="A21">
        <v>389</v>
      </c>
      <c r="B21" t="s">
        <v>1576</v>
      </c>
      <c r="C21" t="s">
        <v>1089</v>
      </c>
      <c r="D21" t="s">
        <v>1545</v>
      </c>
      <c r="E21" t="s">
        <v>1577</v>
      </c>
    </row>
    <row r="22" spans="1:5" x14ac:dyDescent="0.25">
      <c r="A22">
        <v>390</v>
      </c>
      <c r="B22" t="s">
        <v>1578</v>
      </c>
      <c r="C22" t="s">
        <v>1089</v>
      </c>
      <c r="D22" t="s">
        <v>1545</v>
      </c>
      <c r="E22" t="s">
        <v>1579</v>
      </c>
    </row>
    <row r="23" spans="1:5" x14ac:dyDescent="0.25">
      <c r="A23">
        <v>391</v>
      </c>
      <c r="B23" t="s">
        <v>1580</v>
      </c>
      <c r="C23" t="s">
        <v>1581</v>
      </c>
      <c r="D23" t="s">
        <v>1545</v>
      </c>
      <c r="E23" t="s">
        <v>1582</v>
      </c>
    </row>
    <row r="24" spans="1:5" x14ac:dyDescent="0.25">
      <c r="A24">
        <v>392</v>
      </c>
      <c r="B24" t="s">
        <v>1583</v>
      </c>
      <c r="C24" t="s">
        <v>1551</v>
      </c>
      <c r="D24" t="s">
        <v>1552</v>
      </c>
      <c r="E24" t="s">
        <v>1584</v>
      </c>
    </row>
    <row r="25" spans="1:5" x14ac:dyDescent="0.25">
      <c r="A25">
        <v>393</v>
      </c>
      <c r="B25" t="s">
        <v>1162</v>
      </c>
      <c r="C25" t="s">
        <v>1581</v>
      </c>
      <c r="D25" t="s">
        <v>1545</v>
      </c>
      <c r="E25" t="s">
        <v>1585</v>
      </c>
    </row>
    <row r="26" spans="1:5" x14ac:dyDescent="0.25">
      <c r="A26">
        <v>394</v>
      </c>
      <c r="B26" t="s">
        <v>1586</v>
      </c>
      <c r="C26" t="s">
        <v>1581</v>
      </c>
      <c r="D26" t="s">
        <v>1545</v>
      </c>
      <c r="E26" t="s">
        <v>1587</v>
      </c>
    </row>
    <row r="27" spans="1:5" x14ac:dyDescent="0.25">
      <c r="A27">
        <v>395</v>
      </c>
      <c r="B27" t="s">
        <v>1588</v>
      </c>
      <c r="C27" t="s">
        <v>1581</v>
      </c>
      <c r="D27" t="s">
        <v>1545</v>
      </c>
      <c r="E27" t="s">
        <v>1589</v>
      </c>
    </row>
    <row r="28" spans="1:5" x14ac:dyDescent="0.25">
      <c r="A28">
        <v>396</v>
      </c>
      <c r="B28" t="s">
        <v>918</v>
      </c>
      <c r="C28" t="s">
        <v>1581</v>
      </c>
      <c r="D28" t="s">
        <v>1545</v>
      </c>
      <c r="E28" t="s">
        <v>1584</v>
      </c>
    </row>
    <row r="29" spans="1:5" x14ac:dyDescent="0.25">
      <c r="A29">
        <v>397</v>
      </c>
      <c r="B29" t="s">
        <v>1590</v>
      </c>
      <c r="C29" t="s">
        <v>1581</v>
      </c>
      <c r="D29" t="s">
        <v>1545</v>
      </c>
      <c r="E29" t="s">
        <v>1591</v>
      </c>
    </row>
    <row r="30" spans="1:5" x14ac:dyDescent="0.25">
      <c r="A30">
        <v>398</v>
      </c>
      <c r="B30" t="s">
        <v>1592</v>
      </c>
      <c r="C30" t="s">
        <v>1581</v>
      </c>
      <c r="D30" t="s">
        <v>1545</v>
      </c>
      <c r="E30" t="s">
        <v>1593</v>
      </c>
    </row>
    <row r="31" spans="1:5" x14ac:dyDescent="0.25">
      <c r="A31">
        <v>399</v>
      </c>
      <c r="B31" t="s">
        <v>1594</v>
      </c>
      <c r="C31" t="s">
        <v>1581</v>
      </c>
      <c r="D31" t="s">
        <v>1545</v>
      </c>
      <c r="E31" t="s">
        <v>1584</v>
      </c>
    </row>
    <row r="32" spans="1:5" x14ac:dyDescent="0.25">
      <c r="A32">
        <v>400</v>
      </c>
      <c r="B32" t="s">
        <v>1595</v>
      </c>
      <c r="C32" t="s">
        <v>1551</v>
      </c>
      <c r="D32" t="s">
        <v>1552</v>
      </c>
      <c r="E32" t="s">
        <v>1496</v>
      </c>
    </row>
    <row r="33" spans="1:5" x14ac:dyDescent="0.25">
      <c r="A33">
        <v>401</v>
      </c>
      <c r="B33" t="s">
        <v>1596</v>
      </c>
      <c r="C33" t="s">
        <v>1597</v>
      </c>
      <c r="D33" t="s">
        <v>1552</v>
      </c>
    </row>
    <row r="34" spans="1:5" x14ac:dyDescent="0.25">
      <c r="A34">
        <v>402</v>
      </c>
      <c r="B34" t="s">
        <v>1598</v>
      </c>
      <c r="C34" t="s">
        <v>1599</v>
      </c>
      <c r="D34" t="s">
        <v>1552</v>
      </c>
      <c r="E34" t="s">
        <v>1600</v>
      </c>
    </row>
    <row r="35" spans="1:5" x14ac:dyDescent="0.25">
      <c r="A35">
        <v>403</v>
      </c>
      <c r="B35" t="s">
        <v>1601</v>
      </c>
      <c r="C35" t="s">
        <v>1599</v>
      </c>
      <c r="D35" t="s">
        <v>1552</v>
      </c>
    </row>
    <row r="36" spans="1:5" x14ac:dyDescent="0.25">
      <c r="A36">
        <v>404</v>
      </c>
      <c r="B36" t="s">
        <v>1602</v>
      </c>
      <c r="C36" t="s">
        <v>1599</v>
      </c>
      <c r="D36" t="s">
        <v>1552</v>
      </c>
    </row>
    <row r="37" spans="1:5" x14ac:dyDescent="0.25">
      <c r="A37">
        <v>405</v>
      </c>
      <c r="B37" t="s">
        <v>1603</v>
      </c>
      <c r="C37" t="s">
        <v>1604</v>
      </c>
      <c r="D37" t="s">
        <v>1552</v>
      </c>
    </row>
    <row r="38" spans="1:5" x14ac:dyDescent="0.25">
      <c r="A38">
        <v>406</v>
      </c>
      <c r="B38" t="s">
        <v>1605</v>
      </c>
      <c r="C38" t="s">
        <v>1604</v>
      </c>
      <c r="D38" t="s">
        <v>1552</v>
      </c>
    </row>
    <row r="39" spans="1:5" x14ac:dyDescent="0.25">
      <c r="A39">
        <v>407</v>
      </c>
      <c r="B39" t="s">
        <v>1606</v>
      </c>
      <c r="C39" t="s">
        <v>1604</v>
      </c>
      <c r="D39" t="s">
        <v>1552</v>
      </c>
    </row>
    <row r="40" spans="1:5" x14ac:dyDescent="0.25">
      <c r="A40">
        <v>408</v>
      </c>
      <c r="B40" t="s">
        <v>1607</v>
      </c>
      <c r="C40" t="s">
        <v>1604</v>
      </c>
      <c r="D40" t="s">
        <v>1552</v>
      </c>
      <c r="E40" t="s">
        <v>1608</v>
      </c>
    </row>
    <row r="41" spans="1:5" x14ac:dyDescent="0.25">
      <c r="A41">
        <v>409</v>
      </c>
      <c r="B41" t="s">
        <v>1609</v>
      </c>
      <c r="C41" t="s">
        <v>1604</v>
      </c>
      <c r="D41" t="s">
        <v>1552</v>
      </c>
    </row>
    <row r="42" spans="1:5" x14ac:dyDescent="0.25">
      <c r="A42">
        <v>410</v>
      </c>
      <c r="B42" t="s">
        <v>1610</v>
      </c>
      <c r="C42" t="s">
        <v>1604</v>
      </c>
      <c r="D42" t="s">
        <v>1552</v>
      </c>
      <c r="E42" t="s">
        <v>1611</v>
      </c>
    </row>
  </sheetData>
  <pageMargins left="0.7" right="0.7" top="0.78749999999999998" bottom="0.78749999999999998"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1"/>
  <sheetViews>
    <sheetView zoomScaleNormal="100" workbookViewId="0">
      <selection activeCell="D21" sqref="D21"/>
    </sheetView>
  </sheetViews>
  <sheetFormatPr baseColWidth="10" defaultColWidth="12.28515625" defaultRowHeight="15" x14ac:dyDescent="0.25"/>
  <cols>
    <col min="2" max="2" width="67.85546875" customWidth="1"/>
    <col min="3" max="3" width="16.5703125" customWidth="1"/>
  </cols>
  <sheetData>
    <row r="1" spans="1:4" x14ac:dyDescent="0.25">
      <c r="A1" s="12" t="s">
        <v>1541</v>
      </c>
      <c r="B1" s="12" t="s">
        <v>477</v>
      </c>
      <c r="C1" s="12" t="s">
        <v>1072</v>
      </c>
      <c r="D1" s="12" t="s">
        <v>1542</v>
      </c>
    </row>
    <row r="2" spans="1:4" x14ac:dyDescent="0.25">
      <c r="A2">
        <v>173</v>
      </c>
      <c r="B2" t="s">
        <v>1612</v>
      </c>
      <c r="C2" t="s">
        <v>1613</v>
      </c>
      <c r="D2" t="s">
        <v>1614</v>
      </c>
    </row>
    <row r="3" spans="1:4" x14ac:dyDescent="0.25">
      <c r="A3">
        <v>174</v>
      </c>
      <c r="B3" t="s">
        <v>1615</v>
      </c>
      <c r="C3" t="s">
        <v>1081</v>
      </c>
      <c r="D3" t="s">
        <v>1616</v>
      </c>
    </row>
    <row r="4" spans="1:4" x14ac:dyDescent="0.25">
      <c r="A4">
        <v>175</v>
      </c>
      <c r="B4" t="s">
        <v>1617</v>
      </c>
      <c r="C4" t="s">
        <v>1081</v>
      </c>
      <c r="D4" t="s">
        <v>1616</v>
      </c>
    </row>
    <row r="5" spans="1:4" x14ac:dyDescent="0.25">
      <c r="A5">
        <v>176</v>
      </c>
      <c r="B5" t="s">
        <v>1618</v>
      </c>
      <c r="C5" t="s">
        <v>1083</v>
      </c>
      <c r="D5" t="s">
        <v>1614</v>
      </c>
    </row>
    <row r="6" spans="1:4" x14ac:dyDescent="0.25">
      <c r="A6">
        <v>177</v>
      </c>
      <c r="B6" t="s">
        <v>1619</v>
      </c>
      <c r="C6" t="s">
        <v>1083</v>
      </c>
      <c r="D6" t="s">
        <v>1614</v>
      </c>
    </row>
    <row r="7" spans="1:4" x14ac:dyDescent="0.25">
      <c r="A7">
        <v>178</v>
      </c>
      <c r="B7" t="s">
        <v>1620</v>
      </c>
      <c r="C7" t="s">
        <v>1621</v>
      </c>
      <c r="D7" t="s">
        <v>1616</v>
      </c>
    </row>
    <row r="8" spans="1:4" x14ac:dyDescent="0.25">
      <c r="A8">
        <v>179</v>
      </c>
      <c r="B8" t="s">
        <v>1622</v>
      </c>
      <c r="C8" t="s">
        <v>1092</v>
      </c>
      <c r="D8" t="s">
        <v>1616</v>
      </c>
    </row>
    <row r="9" spans="1:4" x14ac:dyDescent="0.25">
      <c r="A9">
        <v>180</v>
      </c>
      <c r="B9" t="s">
        <v>1623</v>
      </c>
      <c r="C9" t="s">
        <v>1092</v>
      </c>
      <c r="D9" t="s">
        <v>1616</v>
      </c>
    </row>
    <row r="10" spans="1:4" x14ac:dyDescent="0.25">
      <c r="A10">
        <v>181</v>
      </c>
      <c r="B10" t="s">
        <v>1624</v>
      </c>
      <c r="C10" t="s">
        <v>1092</v>
      </c>
      <c r="D10" t="s">
        <v>1616</v>
      </c>
    </row>
    <row r="11" spans="1:4" x14ac:dyDescent="0.25">
      <c r="A11">
        <v>182</v>
      </c>
      <c r="B11" t="s">
        <v>1625</v>
      </c>
      <c r="C11" t="s">
        <v>1092</v>
      </c>
      <c r="D11" t="s">
        <v>1616</v>
      </c>
    </row>
    <row r="12" spans="1:4" x14ac:dyDescent="0.25">
      <c r="A12">
        <v>183</v>
      </c>
      <c r="B12" t="s">
        <v>1626</v>
      </c>
      <c r="C12" t="s">
        <v>1092</v>
      </c>
      <c r="D12" t="s">
        <v>1616</v>
      </c>
    </row>
    <row r="13" spans="1:4" x14ac:dyDescent="0.25">
      <c r="A13">
        <v>184</v>
      </c>
      <c r="B13" t="s">
        <v>1627</v>
      </c>
      <c r="C13" t="s">
        <v>1094</v>
      </c>
      <c r="D13" t="s">
        <v>1614</v>
      </c>
    </row>
    <row r="14" spans="1:4" x14ac:dyDescent="0.25">
      <c r="A14">
        <v>185</v>
      </c>
      <c r="B14" t="s">
        <v>1628</v>
      </c>
      <c r="C14" t="s">
        <v>1094</v>
      </c>
      <c r="D14" t="s">
        <v>1614</v>
      </c>
    </row>
    <row r="15" spans="1:4" x14ac:dyDescent="0.25">
      <c r="A15">
        <v>186</v>
      </c>
      <c r="B15" t="s">
        <v>1629</v>
      </c>
      <c r="C15" t="s">
        <v>1094</v>
      </c>
      <c r="D15" t="s">
        <v>1614</v>
      </c>
    </row>
    <row r="16" spans="1:4" x14ac:dyDescent="0.25">
      <c r="A16">
        <v>187</v>
      </c>
      <c r="B16" t="s">
        <v>1630</v>
      </c>
      <c r="C16" t="s">
        <v>1097</v>
      </c>
      <c r="D16" t="s">
        <v>1614</v>
      </c>
    </row>
    <row r="17" spans="1:4" x14ac:dyDescent="0.25">
      <c r="A17">
        <v>188</v>
      </c>
      <c r="B17" t="s">
        <v>1631</v>
      </c>
      <c r="C17" t="s">
        <v>1097</v>
      </c>
      <c r="D17" t="s">
        <v>1614</v>
      </c>
    </row>
    <row r="18" spans="1:4" x14ac:dyDescent="0.25">
      <c r="A18">
        <v>189</v>
      </c>
      <c r="B18" t="s">
        <v>1632</v>
      </c>
      <c r="C18" t="s">
        <v>1097</v>
      </c>
      <c r="D18" t="s">
        <v>1614</v>
      </c>
    </row>
    <row r="19" spans="1:4" x14ac:dyDescent="0.25">
      <c r="A19">
        <v>190</v>
      </c>
      <c r="B19" t="s">
        <v>1633</v>
      </c>
      <c r="C19" t="s">
        <v>1604</v>
      </c>
      <c r="D19" t="s">
        <v>1614</v>
      </c>
    </row>
    <row r="20" spans="1:4" x14ac:dyDescent="0.25">
      <c r="A20">
        <v>191</v>
      </c>
      <c r="B20" t="s">
        <v>1634</v>
      </c>
      <c r="C20" t="s">
        <v>1604</v>
      </c>
      <c r="D20" t="s">
        <v>1614</v>
      </c>
    </row>
    <row r="21" spans="1:4" x14ac:dyDescent="0.25">
      <c r="A21">
        <v>192</v>
      </c>
      <c r="B21" t="s">
        <v>1635</v>
      </c>
      <c r="C21" t="s">
        <v>1604</v>
      </c>
      <c r="D21" t="s">
        <v>1614</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Roman,Regular"&amp;12&amp;KffffffSeite &amp;P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60"/>
  <sheetViews>
    <sheetView topLeftCell="A19" zoomScaleNormal="100" workbookViewId="0">
      <selection activeCell="E43" sqref="E43"/>
    </sheetView>
  </sheetViews>
  <sheetFormatPr baseColWidth="10" defaultColWidth="12.5703125" defaultRowHeight="15" x14ac:dyDescent="0.25"/>
  <cols>
    <col min="2" max="2" width="43.7109375" customWidth="1"/>
    <col min="3" max="3" width="15.85546875" customWidth="1"/>
    <col min="4" max="4" width="15.7109375" customWidth="1"/>
  </cols>
  <sheetData>
    <row r="1" spans="1:4" x14ac:dyDescent="0.25">
      <c r="A1" s="12" t="s">
        <v>1541</v>
      </c>
      <c r="B1" s="12" t="s">
        <v>477</v>
      </c>
      <c r="C1" s="12" t="s">
        <v>1072</v>
      </c>
      <c r="D1" s="12" t="s">
        <v>1542</v>
      </c>
    </row>
    <row r="2" spans="1:4" x14ac:dyDescent="0.25">
      <c r="A2">
        <v>92</v>
      </c>
      <c r="B2" t="s">
        <v>1636</v>
      </c>
      <c r="C2" t="s">
        <v>1075</v>
      </c>
      <c r="D2" t="s">
        <v>1637</v>
      </c>
    </row>
    <row r="3" spans="1:4" x14ac:dyDescent="0.25">
      <c r="A3">
        <v>93</v>
      </c>
      <c r="B3" t="s">
        <v>1638</v>
      </c>
      <c r="C3" t="s">
        <v>1075</v>
      </c>
      <c r="D3" t="s">
        <v>1637</v>
      </c>
    </row>
    <row r="4" spans="1:4" x14ac:dyDescent="0.25">
      <c r="A4">
        <v>94</v>
      </c>
      <c r="B4" t="s">
        <v>1639</v>
      </c>
      <c r="C4" t="s">
        <v>1075</v>
      </c>
      <c r="D4" t="s">
        <v>1637</v>
      </c>
    </row>
    <row r="5" spans="1:4" x14ac:dyDescent="0.25">
      <c r="A5">
        <v>95</v>
      </c>
      <c r="B5" t="s">
        <v>1640</v>
      </c>
      <c r="C5" t="s">
        <v>1641</v>
      </c>
      <c r="D5" t="s">
        <v>1642</v>
      </c>
    </row>
    <row r="6" spans="1:4" x14ac:dyDescent="0.25">
      <c r="A6">
        <v>96</v>
      </c>
      <c r="B6" t="s">
        <v>1643</v>
      </c>
      <c r="C6" t="s">
        <v>1644</v>
      </c>
      <c r="D6" t="s">
        <v>1642</v>
      </c>
    </row>
    <row r="7" spans="1:4" x14ac:dyDescent="0.25">
      <c r="A7">
        <v>97</v>
      </c>
      <c r="B7" t="s">
        <v>1645</v>
      </c>
      <c r="C7" t="s">
        <v>1644</v>
      </c>
      <c r="D7" t="s">
        <v>1642</v>
      </c>
    </row>
    <row r="8" spans="1:4" x14ac:dyDescent="0.25">
      <c r="A8">
        <v>98</v>
      </c>
      <c r="B8" t="s">
        <v>1646</v>
      </c>
      <c r="C8" t="s">
        <v>1081</v>
      </c>
      <c r="D8" t="s">
        <v>1637</v>
      </c>
    </row>
    <row r="9" spans="1:4" x14ac:dyDescent="0.25">
      <c r="A9">
        <v>99</v>
      </c>
      <c r="B9" t="s">
        <v>1647</v>
      </c>
      <c r="C9" t="s">
        <v>1648</v>
      </c>
      <c r="D9" t="s">
        <v>1637</v>
      </c>
    </row>
    <row r="10" spans="1:4" x14ac:dyDescent="0.25">
      <c r="A10">
        <v>100</v>
      </c>
      <c r="B10" t="s">
        <v>1649</v>
      </c>
      <c r="C10" t="s">
        <v>1648</v>
      </c>
      <c r="D10" t="s">
        <v>1637</v>
      </c>
    </row>
    <row r="11" spans="1:4" x14ac:dyDescent="0.25">
      <c r="A11">
        <v>101</v>
      </c>
      <c r="B11" t="s">
        <v>1650</v>
      </c>
      <c r="C11" t="s">
        <v>1648</v>
      </c>
      <c r="D11" t="s">
        <v>1637</v>
      </c>
    </row>
    <row r="12" spans="1:4" x14ac:dyDescent="0.25">
      <c r="A12">
        <v>102</v>
      </c>
      <c r="B12" t="s">
        <v>1651</v>
      </c>
      <c r="C12" t="s">
        <v>10</v>
      </c>
      <c r="D12" t="s">
        <v>1642</v>
      </c>
    </row>
    <row r="13" spans="1:4" x14ac:dyDescent="0.25">
      <c r="A13">
        <v>103</v>
      </c>
      <c r="B13" t="s">
        <v>1652</v>
      </c>
      <c r="C13" t="s">
        <v>1089</v>
      </c>
      <c r="D13" t="s">
        <v>1637</v>
      </c>
    </row>
    <row r="14" spans="1:4" x14ac:dyDescent="0.25">
      <c r="A14">
        <v>104</v>
      </c>
      <c r="B14" t="s">
        <v>1653</v>
      </c>
      <c r="C14" t="s">
        <v>1089</v>
      </c>
      <c r="D14" t="s">
        <v>1637</v>
      </c>
    </row>
    <row r="15" spans="1:4" x14ac:dyDescent="0.25">
      <c r="A15">
        <v>105</v>
      </c>
      <c r="B15" t="s">
        <v>1654</v>
      </c>
      <c r="C15" t="s">
        <v>1089</v>
      </c>
      <c r="D15" t="s">
        <v>1637</v>
      </c>
    </row>
    <row r="16" spans="1:4" x14ac:dyDescent="0.25">
      <c r="A16">
        <v>106</v>
      </c>
      <c r="B16" t="s">
        <v>1655</v>
      </c>
      <c r="C16" t="s">
        <v>1089</v>
      </c>
      <c r="D16" t="s">
        <v>1637</v>
      </c>
    </row>
    <row r="17" spans="1:4" x14ac:dyDescent="0.25">
      <c r="A17">
        <v>107</v>
      </c>
      <c r="B17" t="s">
        <v>1656</v>
      </c>
      <c r="C17" t="s">
        <v>1089</v>
      </c>
      <c r="D17" t="s">
        <v>1637</v>
      </c>
    </row>
    <row r="18" spans="1:4" x14ac:dyDescent="0.25">
      <c r="A18">
        <v>108</v>
      </c>
      <c r="B18" t="s">
        <v>1657</v>
      </c>
      <c r="C18" t="s">
        <v>1089</v>
      </c>
      <c r="D18" t="s">
        <v>1637</v>
      </c>
    </row>
    <row r="19" spans="1:4" x14ac:dyDescent="0.25">
      <c r="A19">
        <v>109</v>
      </c>
      <c r="B19" t="s">
        <v>1658</v>
      </c>
      <c r="C19" t="s">
        <v>1092</v>
      </c>
      <c r="D19" t="s">
        <v>1637</v>
      </c>
    </row>
    <row r="20" spans="1:4" x14ac:dyDescent="0.25">
      <c r="A20">
        <v>110</v>
      </c>
      <c r="B20" t="s">
        <v>1659</v>
      </c>
      <c r="C20" t="s">
        <v>1092</v>
      </c>
      <c r="D20" t="s">
        <v>1637</v>
      </c>
    </row>
    <row r="21" spans="1:4" x14ac:dyDescent="0.25">
      <c r="A21">
        <v>111</v>
      </c>
      <c r="B21" t="s">
        <v>1660</v>
      </c>
      <c r="C21" t="s">
        <v>1094</v>
      </c>
      <c r="D21" t="s">
        <v>1642</v>
      </c>
    </row>
    <row r="22" spans="1:4" x14ac:dyDescent="0.25">
      <c r="A22">
        <v>112</v>
      </c>
      <c r="B22" t="s">
        <v>1661</v>
      </c>
      <c r="C22" t="s">
        <v>1094</v>
      </c>
      <c r="D22" t="s">
        <v>1642</v>
      </c>
    </row>
    <row r="23" spans="1:4" x14ac:dyDescent="0.25">
      <c r="A23">
        <v>113</v>
      </c>
      <c r="B23" t="s">
        <v>1662</v>
      </c>
      <c r="C23" t="s">
        <v>1094</v>
      </c>
      <c r="D23" t="s">
        <v>1642</v>
      </c>
    </row>
    <row r="24" spans="1:4" x14ac:dyDescent="0.25">
      <c r="A24">
        <v>114</v>
      </c>
      <c r="B24" t="s">
        <v>1663</v>
      </c>
      <c r="C24" t="s">
        <v>1094</v>
      </c>
      <c r="D24" t="s">
        <v>1642</v>
      </c>
    </row>
    <row r="25" spans="1:4" x14ac:dyDescent="0.25">
      <c r="A25">
        <v>115</v>
      </c>
      <c r="B25" t="s">
        <v>1664</v>
      </c>
      <c r="C25" t="s">
        <v>1094</v>
      </c>
      <c r="D25" t="s">
        <v>1642</v>
      </c>
    </row>
    <row r="26" spans="1:4" x14ac:dyDescent="0.25">
      <c r="A26">
        <v>116</v>
      </c>
      <c r="B26" t="s">
        <v>1665</v>
      </c>
      <c r="C26" t="s">
        <v>1094</v>
      </c>
      <c r="D26" t="s">
        <v>1642</v>
      </c>
    </row>
    <row r="27" spans="1:4" x14ac:dyDescent="0.25">
      <c r="A27">
        <v>117</v>
      </c>
      <c r="B27" t="s">
        <v>1666</v>
      </c>
      <c r="C27" t="s">
        <v>1094</v>
      </c>
      <c r="D27" t="s">
        <v>1642</v>
      </c>
    </row>
    <row r="28" spans="1:4" x14ac:dyDescent="0.25">
      <c r="A28">
        <v>118</v>
      </c>
      <c r="B28" t="s">
        <v>1667</v>
      </c>
      <c r="C28" t="s">
        <v>1094</v>
      </c>
      <c r="D28" t="s">
        <v>1642</v>
      </c>
    </row>
    <row r="29" spans="1:4" x14ac:dyDescent="0.25">
      <c r="A29">
        <v>119</v>
      </c>
      <c r="B29" t="s">
        <v>1668</v>
      </c>
      <c r="C29" t="s">
        <v>1094</v>
      </c>
      <c r="D29" t="s">
        <v>1642</v>
      </c>
    </row>
    <row r="30" spans="1:4" x14ac:dyDescent="0.25">
      <c r="A30">
        <v>120</v>
      </c>
      <c r="B30" t="s">
        <v>1669</v>
      </c>
      <c r="C30" t="s">
        <v>1097</v>
      </c>
      <c r="D30" t="s">
        <v>1642</v>
      </c>
    </row>
    <row r="31" spans="1:4" x14ac:dyDescent="0.25">
      <c r="A31">
        <v>121</v>
      </c>
      <c r="B31" t="s">
        <v>1670</v>
      </c>
      <c r="C31" t="s">
        <v>1097</v>
      </c>
      <c r="D31" t="s">
        <v>1642</v>
      </c>
    </row>
    <row r="32" spans="1:4" x14ac:dyDescent="0.25">
      <c r="A32">
        <v>122</v>
      </c>
      <c r="B32" t="s">
        <v>1671</v>
      </c>
      <c r="C32" t="s">
        <v>1097</v>
      </c>
      <c r="D32" t="s">
        <v>1642</v>
      </c>
    </row>
    <row r="33" spans="1:5" x14ac:dyDescent="0.25">
      <c r="A33">
        <v>123</v>
      </c>
      <c r="B33" t="s">
        <v>1672</v>
      </c>
      <c r="C33" t="s">
        <v>1097</v>
      </c>
      <c r="D33" t="s">
        <v>1642</v>
      </c>
    </row>
    <row r="34" spans="1:5" x14ac:dyDescent="0.25">
      <c r="A34">
        <v>124</v>
      </c>
      <c r="B34" t="s">
        <v>1673</v>
      </c>
      <c r="C34" t="s">
        <v>1604</v>
      </c>
      <c r="D34" t="s">
        <v>1642</v>
      </c>
    </row>
    <row r="35" spans="1:5" x14ac:dyDescent="0.25">
      <c r="A35">
        <v>125</v>
      </c>
      <c r="B35" t="s">
        <v>1674</v>
      </c>
      <c r="C35" t="s">
        <v>1604</v>
      </c>
      <c r="D35" t="s">
        <v>1642</v>
      </c>
    </row>
    <row r="36" spans="1:5" x14ac:dyDescent="0.25">
      <c r="A36">
        <v>126</v>
      </c>
      <c r="B36" t="s">
        <v>1675</v>
      </c>
      <c r="C36" t="s">
        <v>1604</v>
      </c>
      <c r="D36" t="s">
        <v>1642</v>
      </c>
    </row>
    <row r="37" spans="1:5" x14ac:dyDescent="0.25">
      <c r="A37">
        <v>127</v>
      </c>
      <c r="B37" t="s">
        <v>1676</v>
      </c>
      <c r="C37" t="s">
        <v>1604</v>
      </c>
      <c r="D37" t="s">
        <v>1642</v>
      </c>
    </row>
    <row r="38" spans="1:5" x14ac:dyDescent="0.25">
      <c r="A38">
        <v>128</v>
      </c>
      <c r="B38" t="s">
        <v>1677</v>
      </c>
      <c r="C38" t="s">
        <v>1604</v>
      </c>
      <c r="D38" t="s">
        <v>1642</v>
      </c>
    </row>
    <row r="39" spans="1:5" x14ac:dyDescent="0.25">
      <c r="A39">
        <v>129</v>
      </c>
      <c r="B39" t="s">
        <v>1678</v>
      </c>
      <c r="C39" t="s">
        <v>1604</v>
      </c>
      <c r="D39" t="s">
        <v>1642</v>
      </c>
    </row>
    <row r="40" spans="1:5" x14ac:dyDescent="0.25">
      <c r="A40">
        <v>130</v>
      </c>
      <c r="B40" t="s">
        <v>1679</v>
      </c>
      <c r="C40" t="s">
        <v>1604</v>
      </c>
      <c r="D40" t="s">
        <v>1642</v>
      </c>
    </row>
    <row r="41" spans="1:5" x14ac:dyDescent="0.25">
      <c r="A41">
        <v>131</v>
      </c>
      <c r="B41" t="s">
        <v>1680</v>
      </c>
      <c r="C41" t="s">
        <v>1604</v>
      </c>
      <c r="D41" t="s">
        <v>1642</v>
      </c>
    </row>
    <row r="42" spans="1:5" x14ac:dyDescent="0.25">
      <c r="A42">
        <v>132</v>
      </c>
      <c r="B42" t="s">
        <v>1681</v>
      </c>
      <c r="C42" t="s">
        <v>1099</v>
      </c>
      <c r="D42" t="s">
        <v>1642</v>
      </c>
      <c r="E42" t="s">
        <v>1682</v>
      </c>
    </row>
    <row r="43" spans="1:5" x14ac:dyDescent="0.25">
      <c r="A43">
        <v>133</v>
      </c>
      <c r="B43" t="s">
        <v>2230</v>
      </c>
      <c r="C43" t="s">
        <v>2231</v>
      </c>
      <c r="D43" t="s">
        <v>2232</v>
      </c>
    </row>
    <row r="44" spans="1:5" x14ac:dyDescent="0.25">
      <c r="A44">
        <v>134</v>
      </c>
      <c r="B44" t="s">
        <v>2233</v>
      </c>
      <c r="C44" t="s">
        <v>2234</v>
      </c>
      <c r="D44" t="s">
        <v>2232</v>
      </c>
    </row>
    <row r="45" spans="1:5" x14ac:dyDescent="0.25">
      <c r="A45">
        <v>135</v>
      </c>
      <c r="B45" t="s">
        <v>2235</v>
      </c>
      <c r="C45" t="s">
        <v>2236</v>
      </c>
      <c r="D45" t="s">
        <v>2232</v>
      </c>
    </row>
    <row r="46" spans="1:5" x14ac:dyDescent="0.25">
      <c r="A46">
        <v>136</v>
      </c>
      <c r="B46" t="s">
        <v>2235</v>
      </c>
      <c r="C46" t="s">
        <v>2237</v>
      </c>
      <c r="D46" t="s">
        <v>2232</v>
      </c>
    </row>
    <row r="47" spans="1:5" x14ac:dyDescent="0.25">
      <c r="A47">
        <v>137</v>
      </c>
      <c r="B47" t="s">
        <v>2238</v>
      </c>
      <c r="C47" t="s">
        <v>2239</v>
      </c>
      <c r="D47" t="s">
        <v>2232</v>
      </c>
    </row>
    <row r="48" spans="1:5" x14ac:dyDescent="0.25">
      <c r="A48">
        <v>138</v>
      </c>
      <c r="B48" t="s">
        <v>2240</v>
      </c>
      <c r="C48" t="s">
        <v>2241</v>
      </c>
      <c r="D48" t="s">
        <v>2232</v>
      </c>
    </row>
    <row r="49" spans="1:4" x14ac:dyDescent="0.25">
      <c r="A49">
        <v>139</v>
      </c>
      <c r="B49" t="s">
        <v>2242</v>
      </c>
      <c r="C49" t="s">
        <v>2241</v>
      </c>
      <c r="D49" t="s">
        <v>2232</v>
      </c>
    </row>
    <row r="50" spans="1:4" x14ac:dyDescent="0.25">
      <c r="A50">
        <v>140</v>
      </c>
      <c r="B50" t="s">
        <v>2243</v>
      </c>
      <c r="C50" t="s">
        <v>2241</v>
      </c>
      <c r="D50" t="s">
        <v>2232</v>
      </c>
    </row>
    <row r="51" spans="1:4" x14ac:dyDescent="0.25">
      <c r="A51">
        <v>141</v>
      </c>
      <c r="B51" t="s">
        <v>2244</v>
      </c>
      <c r="C51" t="s">
        <v>2241</v>
      </c>
      <c r="D51" t="s">
        <v>2232</v>
      </c>
    </row>
    <row r="52" spans="1:4" x14ac:dyDescent="0.25">
      <c r="A52">
        <v>142</v>
      </c>
      <c r="B52" t="s">
        <v>2245</v>
      </c>
      <c r="C52" t="s">
        <v>2246</v>
      </c>
      <c r="D52" t="s">
        <v>2232</v>
      </c>
    </row>
    <row r="53" spans="1:4" x14ac:dyDescent="0.25">
      <c r="A53">
        <v>143</v>
      </c>
      <c r="B53" t="s">
        <v>2240</v>
      </c>
      <c r="C53" t="s">
        <v>2247</v>
      </c>
      <c r="D53" t="s">
        <v>2232</v>
      </c>
    </row>
    <row r="54" spans="1:4" x14ac:dyDescent="0.25">
      <c r="A54">
        <v>144</v>
      </c>
      <c r="B54" t="s">
        <v>2240</v>
      </c>
      <c r="C54" t="s">
        <v>2247</v>
      </c>
      <c r="D54" t="s">
        <v>2232</v>
      </c>
    </row>
    <row r="55" spans="1:4" x14ac:dyDescent="0.25">
      <c r="A55">
        <v>145</v>
      </c>
      <c r="B55" t="s">
        <v>2248</v>
      </c>
      <c r="C55" t="s">
        <v>2249</v>
      </c>
      <c r="D55" t="s">
        <v>2232</v>
      </c>
    </row>
    <row r="56" spans="1:4" x14ac:dyDescent="0.25">
      <c r="A56">
        <v>146</v>
      </c>
      <c r="B56" t="s">
        <v>2250</v>
      </c>
      <c r="C56" t="s">
        <v>2251</v>
      </c>
      <c r="D56" t="s">
        <v>2232</v>
      </c>
    </row>
    <row r="57" spans="1:4" x14ac:dyDescent="0.25">
      <c r="A57">
        <v>147</v>
      </c>
      <c r="B57" t="s">
        <v>2252</v>
      </c>
      <c r="C57" t="s">
        <v>2253</v>
      </c>
      <c r="D57" t="s">
        <v>2232</v>
      </c>
    </row>
    <row r="58" spans="1:4" x14ac:dyDescent="0.25">
      <c r="A58">
        <v>148</v>
      </c>
      <c r="B58" t="s">
        <v>2254</v>
      </c>
      <c r="C58" t="s">
        <v>2255</v>
      </c>
      <c r="D58" t="s">
        <v>2232</v>
      </c>
    </row>
    <row r="59" spans="1:4" x14ac:dyDescent="0.25">
      <c r="A59">
        <v>149</v>
      </c>
      <c r="B59" t="s">
        <v>2256</v>
      </c>
      <c r="C59" t="s">
        <v>2257</v>
      </c>
      <c r="D59" t="s">
        <v>2232</v>
      </c>
    </row>
    <row r="60" spans="1:4" x14ac:dyDescent="0.25">
      <c r="A60">
        <v>150</v>
      </c>
      <c r="B60" t="s">
        <v>2258</v>
      </c>
      <c r="C60" t="s">
        <v>2259</v>
      </c>
      <c r="D60" t="s">
        <v>2232</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Roman,Regular"&amp;12&amp;KffffffSeite &amp;P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B4"/>
  <sheetViews>
    <sheetView zoomScaleNormal="100" workbookViewId="0">
      <selection activeCell="B5" sqref="B5"/>
    </sheetView>
  </sheetViews>
  <sheetFormatPr baseColWidth="10" defaultColWidth="11.5703125" defaultRowHeight="15" x14ac:dyDescent="0.25"/>
  <sheetData>
    <row r="1" spans="1:2" x14ac:dyDescent="0.25">
      <c r="A1" t="s">
        <v>1683</v>
      </c>
    </row>
    <row r="2" spans="1:2" x14ac:dyDescent="0.25">
      <c r="A2">
        <v>18</v>
      </c>
      <c r="B2" t="s">
        <v>1684</v>
      </c>
    </row>
    <row r="3" spans="1:2" x14ac:dyDescent="0.25">
      <c r="A3">
        <v>19</v>
      </c>
      <c r="B3" t="s">
        <v>1685</v>
      </c>
    </row>
    <row r="4" spans="1:2" x14ac:dyDescent="0.25">
      <c r="A4">
        <v>20</v>
      </c>
      <c r="B4" t="s">
        <v>1686</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Roman,Regular"&amp;12&amp;KffffffSeite &amp;P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8"/>
  <sheetViews>
    <sheetView zoomScaleNormal="100" workbookViewId="0">
      <selection activeCell="E8" sqref="E8"/>
    </sheetView>
  </sheetViews>
  <sheetFormatPr baseColWidth="10" defaultColWidth="11.5703125" defaultRowHeight="15" x14ac:dyDescent="0.25"/>
  <cols>
    <col min="2" max="2" width="43" customWidth="1"/>
    <col min="4" max="4" width="14.7109375" customWidth="1"/>
  </cols>
  <sheetData>
    <row r="1" spans="1:5" x14ac:dyDescent="0.25">
      <c r="A1" t="s">
        <v>1687</v>
      </c>
    </row>
    <row r="3" spans="1:5" x14ac:dyDescent="0.25">
      <c r="A3" t="s">
        <v>834</v>
      </c>
      <c r="B3" t="s">
        <v>477</v>
      </c>
      <c r="C3" t="s">
        <v>1688</v>
      </c>
      <c r="D3" t="s">
        <v>1689</v>
      </c>
      <c r="E3" t="s">
        <v>1690</v>
      </c>
    </row>
    <row r="4" spans="1:5" x14ac:dyDescent="0.25">
      <c r="A4">
        <v>10</v>
      </c>
      <c r="B4" t="s">
        <v>1691</v>
      </c>
      <c r="C4">
        <v>382</v>
      </c>
      <c r="D4" t="s">
        <v>1581</v>
      </c>
      <c r="E4">
        <v>51</v>
      </c>
    </row>
    <row r="5" spans="1:5" x14ac:dyDescent="0.25">
      <c r="A5">
        <v>11</v>
      </c>
      <c r="B5" t="s">
        <v>1692</v>
      </c>
      <c r="C5">
        <v>382</v>
      </c>
      <c r="D5" t="s">
        <v>1581</v>
      </c>
      <c r="E5">
        <v>52</v>
      </c>
    </row>
    <row r="6" spans="1:5" x14ac:dyDescent="0.25">
      <c r="A6">
        <v>12</v>
      </c>
      <c r="B6" t="s">
        <v>1693</v>
      </c>
      <c r="C6">
        <v>481</v>
      </c>
      <c r="D6" t="s">
        <v>1694</v>
      </c>
      <c r="E6">
        <v>56</v>
      </c>
    </row>
    <row r="7" spans="1:5" x14ac:dyDescent="0.25">
      <c r="A7">
        <v>13</v>
      </c>
      <c r="B7" t="s">
        <v>1695</v>
      </c>
      <c r="C7" t="s">
        <v>1696</v>
      </c>
      <c r="D7" t="s">
        <v>1697</v>
      </c>
      <c r="E7">
        <v>57</v>
      </c>
    </row>
    <row r="8" spans="1:5" x14ac:dyDescent="0.25">
      <c r="A8">
        <v>14</v>
      </c>
      <c r="B8" t="s">
        <v>1698</v>
      </c>
      <c r="C8" t="s">
        <v>1699</v>
      </c>
      <c r="D8" t="s">
        <v>1700</v>
      </c>
      <c r="E8">
        <v>58</v>
      </c>
    </row>
  </sheetData>
  <pageMargins left="0.78749999999999998" right="0.78749999999999998" top="1.0249999999999999" bottom="1.0249999999999999" header="0.78749999999999998" footer="0.78749999999999998"/>
  <pageSetup paperSize="9" orientation="portrait" horizontalDpi="300" verticalDpi="300"/>
  <headerFooter>
    <oddHeader>&amp;C&amp;"Arial,Regular"&amp;10&amp;Kffffff&amp;A</oddHeader>
    <oddFooter>&amp;C&amp;"Arial,Regular"&amp;10&amp;KffffffPage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10"/>
  <sheetViews>
    <sheetView zoomScaleNormal="100" workbookViewId="0">
      <selection activeCell="K8" sqref="K8"/>
    </sheetView>
  </sheetViews>
  <sheetFormatPr baseColWidth="10" defaultColWidth="11.7109375" defaultRowHeight="15" x14ac:dyDescent="0.25"/>
  <cols>
    <col min="1" max="1" width="12.5703125" customWidth="1"/>
    <col min="2" max="2" width="13" customWidth="1"/>
  </cols>
  <sheetData>
    <row r="1" spans="1:9" x14ac:dyDescent="0.25">
      <c r="A1" s="69" t="s">
        <v>1701</v>
      </c>
      <c r="B1" s="69"/>
      <c r="C1" s="69"/>
      <c r="G1" s="69" t="s">
        <v>1702</v>
      </c>
      <c r="H1" s="69"/>
      <c r="I1" s="69"/>
    </row>
    <row r="2" spans="1:9" x14ac:dyDescent="0.25">
      <c r="A2" t="s">
        <v>1703</v>
      </c>
      <c r="B2" t="s">
        <v>481</v>
      </c>
      <c r="C2" t="s">
        <v>477</v>
      </c>
      <c r="G2" t="s">
        <v>1703</v>
      </c>
      <c r="H2" t="s">
        <v>481</v>
      </c>
      <c r="I2" t="s">
        <v>477</v>
      </c>
    </row>
    <row r="3" spans="1:9" x14ac:dyDescent="0.25">
      <c r="A3">
        <v>4</v>
      </c>
      <c r="B3">
        <v>1193</v>
      </c>
      <c r="C3" t="s">
        <v>1704</v>
      </c>
      <c r="G3">
        <v>4</v>
      </c>
      <c r="H3">
        <v>1167</v>
      </c>
      <c r="I3" t="s">
        <v>1704</v>
      </c>
    </row>
    <row r="4" spans="1:9" x14ac:dyDescent="0.25">
      <c r="A4">
        <v>4</v>
      </c>
      <c r="B4">
        <v>1194</v>
      </c>
      <c r="C4" t="s">
        <v>1704</v>
      </c>
      <c r="G4">
        <v>4</v>
      </c>
      <c r="H4">
        <v>1168</v>
      </c>
      <c r="I4" t="s">
        <v>1704</v>
      </c>
    </row>
    <row r="5" spans="1:9" x14ac:dyDescent="0.25">
      <c r="A5">
        <v>4</v>
      </c>
      <c r="B5">
        <v>1195</v>
      </c>
      <c r="C5" t="s">
        <v>1704</v>
      </c>
      <c r="G5">
        <v>4</v>
      </c>
      <c r="H5">
        <v>1169</v>
      </c>
      <c r="I5" t="s">
        <v>1704</v>
      </c>
    </row>
    <row r="6" spans="1:9" x14ac:dyDescent="0.25">
      <c r="A6">
        <v>4</v>
      </c>
      <c r="B6">
        <v>1196</v>
      </c>
      <c r="C6" t="s">
        <v>1704</v>
      </c>
      <c r="G6">
        <v>4</v>
      </c>
      <c r="H6">
        <v>1170</v>
      </c>
      <c r="I6" t="s">
        <v>1704</v>
      </c>
    </row>
    <row r="7" spans="1:9" x14ac:dyDescent="0.25">
      <c r="A7">
        <v>4</v>
      </c>
      <c r="B7">
        <v>1197</v>
      </c>
      <c r="C7" t="s">
        <v>1704</v>
      </c>
      <c r="G7">
        <v>4</v>
      </c>
      <c r="H7">
        <v>1171</v>
      </c>
      <c r="I7" t="s">
        <v>1704</v>
      </c>
    </row>
    <row r="8" spans="1:9" x14ac:dyDescent="0.25">
      <c r="A8">
        <v>4</v>
      </c>
      <c r="B8">
        <v>1198</v>
      </c>
      <c r="C8" t="s">
        <v>1704</v>
      </c>
      <c r="G8">
        <v>4</v>
      </c>
      <c r="H8">
        <v>1172</v>
      </c>
      <c r="I8" t="s">
        <v>1704</v>
      </c>
    </row>
    <row r="9" spans="1:9" x14ac:dyDescent="0.25">
      <c r="A9">
        <v>4</v>
      </c>
      <c r="B9">
        <v>1199</v>
      </c>
      <c r="C9" t="s">
        <v>1704</v>
      </c>
      <c r="G9">
        <v>4</v>
      </c>
      <c r="H9">
        <v>1173</v>
      </c>
      <c r="I9" t="s">
        <v>1704</v>
      </c>
    </row>
    <row r="10" spans="1:9" x14ac:dyDescent="0.25">
      <c r="A10">
        <v>4</v>
      </c>
      <c r="B10">
        <v>1200</v>
      </c>
      <c r="C10" t="s">
        <v>1704</v>
      </c>
      <c r="G10">
        <v>4</v>
      </c>
      <c r="H10">
        <v>1174</v>
      </c>
      <c r="I10" t="s">
        <v>1704</v>
      </c>
    </row>
  </sheetData>
  <mergeCells count="2">
    <mergeCell ref="A1:C1"/>
    <mergeCell ref="G1:I1"/>
  </mergeCells>
  <pageMargins left="0.7" right="0.7" top="0.78749999999999998" bottom="0.78749999999999998" header="0.511811023622047" footer="0.511811023622047"/>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74"/>
  <sheetViews>
    <sheetView zoomScaleNormal="100" workbookViewId="0">
      <selection activeCell="G5" sqref="G5"/>
    </sheetView>
  </sheetViews>
  <sheetFormatPr baseColWidth="10" defaultColWidth="11.7109375" defaultRowHeight="15" x14ac:dyDescent="0.25"/>
  <cols>
    <col min="1" max="1" width="37.85546875" customWidth="1"/>
    <col min="3" max="3" width="17.5703125" customWidth="1"/>
    <col min="4" max="4" width="11.5703125" customWidth="1"/>
    <col min="7" max="7" width="35.140625" customWidth="1"/>
    <col min="9" max="9" width="35.140625" customWidth="1"/>
  </cols>
  <sheetData>
    <row r="1" spans="1:10" x14ac:dyDescent="0.25">
      <c r="A1" s="43" t="s">
        <v>1705</v>
      </c>
      <c r="C1" s="69" t="s">
        <v>1706</v>
      </c>
      <c r="D1" s="69"/>
      <c r="E1" s="69"/>
      <c r="G1" s="69" t="s">
        <v>1707</v>
      </c>
      <c r="H1" s="69"/>
      <c r="I1" s="69"/>
      <c r="J1" s="69"/>
    </row>
    <row r="2" spans="1:10" x14ac:dyDescent="0.25">
      <c r="A2" t="s">
        <v>1708</v>
      </c>
      <c r="C2" s="44" t="s">
        <v>1709</v>
      </c>
      <c r="D2" s="45"/>
      <c r="E2" s="46"/>
      <c r="G2" s="44" t="s">
        <v>482</v>
      </c>
      <c r="H2" s="44" t="s">
        <v>1710</v>
      </c>
      <c r="I2" s="44" t="s">
        <v>477</v>
      </c>
      <c r="J2" s="44" t="s">
        <v>1711</v>
      </c>
    </row>
    <row r="3" spans="1:10" x14ac:dyDescent="0.25">
      <c r="A3" t="s">
        <v>1712</v>
      </c>
      <c r="C3" t="s">
        <v>1713</v>
      </c>
      <c r="E3" s="47"/>
      <c r="G3" t="s">
        <v>1714</v>
      </c>
      <c r="H3" t="s">
        <v>17</v>
      </c>
      <c r="I3" t="s">
        <v>1715</v>
      </c>
      <c r="J3" t="s">
        <v>1716</v>
      </c>
    </row>
    <row r="4" spans="1:10" x14ac:dyDescent="0.25">
      <c r="A4" t="s">
        <v>1717</v>
      </c>
      <c r="C4" t="s">
        <v>1718</v>
      </c>
      <c r="G4" t="s">
        <v>1719</v>
      </c>
      <c r="H4" t="s">
        <v>1720</v>
      </c>
      <c r="I4" t="s">
        <v>1721</v>
      </c>
      <c r="J4" t="s">
        <v>1722</v>
      </c>
    </row>
    <row r="5" spans="1:10" x14ac:dyDescent="0.25">
      <c r="A5" t="s">
        <v>1723</v>
      </c>
      <c r="C5" t="s">
        <v>1724</v>
      </c>
    </row>
    <row r="6" spans="1:10" x14ac:dyDescent="0.25">
      <c r="A6" t="s">
        <v>1725</v>
      </c>
      <c r="C6" t="s">
        <v>1726</v>
      </c>
    </row>
    <row r="7" spans="1:10" x14ac:dyDescent="0.25">
      <c r="A7" t="s">
        <v>1727</v>
      </c>
      <c r="C7" t="s">
        <v>1728</v>
      </c>
    </row>
    <row r="8" spans="1:10" x14ac:dyDescent="0.25">
      <c r="A8" t="s">
        <v>1729</v>
      </c>
      <c r="C8" t="s">
        <v>1730</v>
      </c>
    </row>
    <row r="9" spans="1:10" x14ac:dyDescent="0.25">
      <c r="A9" t="s">
        <v>1731</v>
      </c>
      <c r="C9" t="s">
        <v>1732</v>
      </c>
    </row>
    <row r="10" spans="1:10" x14ac:dyDescent="0.25">
      <c r="A10" t="s">
        <v>1733</v>
      </c>
      <c r="C10" t="s">
        <v>1734</v>
      </c>
    </row>
    <row r="11" spans="1:10" x14ac:dyDescent="0.25">
      <c r="A11" t="s">
        <v>1735</v>
      </c>
      <c r="C11" t="s">
        <v>1736</v>
      </c>
    </row>
    <row r="12" spans="1:10" x14ac:dyDescent="0.25">
      <c r="A12" t="s">
        <v>1737</v>
      </c>
      <c r="C12" t="s">
        <v>1738</v>
      </c>
    </row>
    <row r="13" spans="1:10" x14ac:dyDescent="0.25">
      <c r="A13" t="s">
        <v>1739</v>
      </c>
      <c r="C13" t="s">
        <v>1740</v>
      </c>
    </row>
    <row r="14" spans="1:10" x14ac:dyDescent="0.25">
      <c r="A14" t="s">
        <v>1741</v>
      </c>
      <c r="C14" t="s">
        <v>1742</v>
      </c>
    </row>
    <row r="15" spans="1:10" x14ac:dyDescent="0.25">
      <c r="A15" t="s">
        <v>1743</v>
      </c>
      <c r="C15" t="s">
        <v>1744</v>
      </c>
    </row>
    <row r="16" spans="1:10" x14ac:dyDescent="0.25">
      <c r="A16" t="s">
        <v>1745</v>
      </c>
      <c r="C16" t="s">
        <v>1746</v>
      </c>
    </row>
    <row r="17" spans="1:3" x14ac:dyDescent="0.25">
      <c r="A17" t="s">
        <v>1747</v>
      </c>
      <c r="C17" t="s">
        <v>1748</v>
      </c>
    </row>
    <row r="18" spans="1:3" x14ac:dyDescent="0.25">
      <c r="A18" t="s">
        <v>1749</v>
      </c>
      <c r="C18" t="s">
        <v>1750</v>
      </c>
    </row>
    <row r="19" spans="1:3" x14ac:dyDescent="0.25">
      <c r="A19" t="s">
        <v>1751</v>
      </c>
    </row>
    <row r="20" spans="1:3" x14ac:dyDescent="0.25">
      <c r="A20" t="s">
        <v>1752</v>
      </c>
    </row>
    <row r="21" spans="1:3" x14ac:dyDescent="0.25">
      <c r="A21" t="s">
        <v>1753</v>
      </c>
    </row>
    <row r="22" spans="1:3" x14ac:dyDescent="0.25">
      <c r="A22" t="s">
        <v>1754</v>
      </c>
    </row>
    <row r="23" spans="1:3" x14ac:dyDescent="0.25">
      <c r="A23" t="s">
        <v>1755</v>
      </c>
    </row>
    <row r="24" spans="1:3" x14ac:dyDescent="0.25">
      <c r="A24" t="s">
        <v>1756</v>
      </c>
    </row>
    <row r="25" spans="1:3" x14ac:dyDescent="0.25">
      <c r="A25" t="s">
        <v>1757</v>
      </c>
    </row>
    <row r="26" spans="1:3" x14ac:dyDescent="0.25">
      <c r="A26" t="s">
        <v>1758</v>
      </c>
    </row>
    <row r="27" spans="1:3" x14ac:dyDescent="0.25">
      <c r="A27" t="s">
        <v>1759</v>
      </c>
    </row>
    <row r="28" spans="1:3" x14ac:dyDescent="0.25">
      <c r="A28" t="s">
        <v>1760</v>
      </c>
    </row>
    <row r="30" spans="1:3" x14ac:dyDescent="0.25">
      <c r="A30" t="s">
        <v>1761</v>
      </c>
    </row>
    <row r="31" spans="1:3" x14ac:dyDescent="0.25">
      <c r="A31" t="s">
        <v>1762</v>
      </c>
    </row>
    <row r="32" spans="1:3" x14ac:dyDescent="0.25">
      <c r="A32" t="s">
        <v>1763</v>
      </c>
    </row>
    <row r="33" spans="1:1" x14ac:dyDescent="0.25">
      <c r="A33" t="s">
        <v>1764</v>
      </c>
    </row>
    <row r="34" spans="1:1" x14ac:dyDescent="0.25">
      <c r="A34" t="s">
        <v>1765</v>
      </c>
    </row>
    <row r="35" spans="1:1" x14ac:dyDescent="0.25">
      <c r="A35" t="s">
        <v>1766</v>
      </c>
    </row>
    <row r="36" spans="1:1" x14ac:dyDescent="0.25">
      <c r="A36" t="s">
        <v>1767</v>
      </c>
    </row>
    <row r="37" spans="1:1" x14ac:dyDescent="0.25">
      <c r="A37" t="s">
        <v>1768</v>
      </c>
    </row>
    <row r="38" spans="1:1" x14ac:dyDescent="0.25">
      <c r="A38" t="s">
        <v>1769</v>
      </c>
    </row>
    <row r="39" spans="1:1" x14ac:dyDescent="0.25">
      <c r="A39" t="s">
        <v>1770</v>
      </c>
    </row>
    <row r="40" spans="1:1" x14ac:dyDescent="0.25">
      <c r="A40" t="s">
        <v>1771</v>
      </c>
    </row>
    <row r="41" spans="1:1" x14ac:dyDescent="0.25">
      <c r="A41" t="s">
        <v>1772</v>
      </c>
    </row>
    <row r="42" spans="1:1" x14ac:dyDescent="0.25">
      <c r="A42" t="s">
        <v>1773</v>
      </c>
    </row>
    <row r="43" spans="1:1" x14ac:dyDescent="0.25">
      <c r="A43" t="s">
        <v>1774</v>
      </c>
    </row>
    <row r="44" spans="1:1" x14ac:dyDescent="0.25">
      <c r="A44" t="s">
        <v>1775</v>
      </c>
    </row>
    <row r="46" spans="1:1" x14ac:dyDescent="0.25">
      <c r="A46" t="s">
        <v>1776</v>
      </c>
    </row>
    <row r="47" spans="1:1" x14ac:dyDescent="0.25">
      <c r="A47" t="s">
        <v>1777</v>
      </c>
    </row>
    <row r="48" spans="1:1" x14ac:dyDescent="0.25">
      <c r="A48" t="s">
        <v>1778</v>
      </c>
    </row>
    <row r="49" spans="1:1" x14ac:dyDescent="0.25">
      <c r="A49" t="s">
        <v>1779</v>
      </c>
    </row>
    <row r="50" spans="1:1" x14ac:dyDescent="0.25">
      <c r="A50" t="s">
        <v>1780</v>
      </c>
    </row>
    <row r="51" spans="1:1" x14ac:dyDescent="0.25">
      <c r="A51" t="s">
        <v>1781</v>
      </c>
    </row>
    <row r="52" spans="1:1" x14ac:dyDescent="0.25">
      <c r="A52" t="s">
        <v>1782</v>
      </c>
    </row>
    <row r="53" spans="1:1" x14ac:dyDescent="0.25">
      <c r="A53" t="s">
        <v>1783</v>
      </c>
    </row>
    <row r="54" spans="1:1" x14ac:dyDescent="0.25">
      <c r="A54" t="s">
        <v>1784</v>
      </c>
    </row>
    <row r="55" spans="1:1" x14ac:dyDescent="0.25">
      <c r="A55" t="s">
        <v>1785</v>
      </c>
    </row>
    <row r="56" spans="1:1" x14ac:dyDescent="0.25">
      <c r="A56" t="s">
        <v>1786</v>
      </c>
    </row>
    <row r="57" spans="1:1" x14ac:dyDescent="0.25">
      <c r="A57" t="s">
        <v>1787</v>
      </c>
    </row>
    <row r="58" spans="1:1" x14ac:dyDescent="0.25">
      <c r="A58" t="s">
        <v>1788</v>
      </c>
    </row>
    <row r="59" spans="1:1" x14ac:dyDescent="0.25">
      <c r="A59" t="s">
        <v>1789</v>
      </c>
    </row>
    <row r="60" spans="1:1" x14ac:dyDescent="0.25">
      <c r="A60" t="s">
        <v>1790</v>
      </c>
    </row>
    <row r="61" spans="1:1" x14ac:dyDescent="0.25">
      <c r="A61" t="s">
        <v>1791</v>
      </c>
    </row>
    <row r="62" spans="1:1" x14ac:dyDescent="0.25">
      <c r="A62" t="s">
        <v>1792</v>
      </c>
    </row>
    <row r="63" spans="1:1" x14ac:dyDescent="0.25">
      <c r="A63" t="s">
        <v>1793</v>
      </c>
    </row>
    <row r="64" spans="1:1" x14ac:dyDescent="0.25">
      <c r="A64" t="s">
        <v>1794</v>
      </c>
    </row>
    <row r="65" spans="1:1" x14ac:dyDescent="0.25">
      <c r="A65" t="s">
        <v>1795</v>
      </c>
    </row>
    <row r="66" spans="1:1" x14ac:dyDescent="0.25">
      <c r="A66" t="s">
        <v>1796</v>
      </c>
    </row>
    <row r="67" spans="1:1" x14ac:dyDescent="0.25">
      <c r="A67" t="s">
        <v>1797</v>
      </c>
    </row>
    <row r="68" spans="1:1" x14ac:dyDescent="0.25">
      <c r="A68" t="s">
        <v>1798</v>
      </c>
    </row>
    <row r="69" spans="1:1" x14ac:dyDescent="0.25">
      <c r="A69" t="s">
        <v>1799</v>
      </c>
    </row>
    <row r="70" spans="1:1" x14ac:dyDescent="0.25">
      <c r="A70" t="s">
        <v>1800</v>
      </c>
    </row>
    <row r="71" spans="1:1" x14ac:dyDescent="0.25">
      <c r="A71" t="s">
        <v>1801</v>
      </c>
    </row>
    <row r="72" spans="1:1" x14ac:dyDescent="0.25">
      <c r="A72" t="s">
        <v>1802</v>
      </c>
    </row>
    <row r="73" spans="1:1" x14ac:dyDescent="0.25">
      <c r="A73" t="s">
        <v>1803</v>
      </c>
    </row>
    <row r="74" spans="1:1" x14ac:dyDescent="0.25">
      <c r="A74" t="s">
        <v>1804</v>
      </c>
    </row>
  </sheetData>
  <mergeCells count="2">
    <mergeCell ref="C1:E1"/>
    <mergeCell ref="G1:J1"/>
  </mergeCells>
  <pageMargins left="0.7" right="0.7" top="0.78749999999999998" bottom="0.78749999999999998" header="0.511811023622047" footer="0.511811023622047"/>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6"/>
  <sheetViews>
    <sheetView zoomScaleNormal="100" workbookViewId="0">
      <selection activeCell="A3" sqref="A3"/>
    </sheetView>
  </sheetViews>
  <sheetFormatPr baseColWidth="10" defaultColWidth="11.7109375" defaultRowHeight="15" x14ac:dyDescent="0.25"/>
  <cols>
    <col min="1" max="1" width="37.5703125" customWidth="1"/>
  </cols>
  <sheetData>
    <row r="1" spans="1:1" x14ac:dyDescent="0.25">
      <c r="A1" t="s">
        <v>1805</v>
      </c>
    </row>
    <row r="2" spans="1:1" x14ac:dyDescent="0.25">
      <c r="A2" t="s">
        <v>1806</v>
      </c>
    </row>
    <row r="3" spans="1:1" x14ac:dyDescent="0.25">
      <c r="A3" t="s">
        <v>1807</v>
      </c>
    </row>
    <row r="4" spans="1:1" x14ac:dyDescent="0.25">
      <c r="A4" t="s">
        <v>1808</v>
      </c>
    </row>
    <row r="5" spans="1:1" x14ac:dyDescent="0.25">
      <c r="A5" t="s">
        <v>1809</v>
      </c>
    </row>
    <row r="6" spans="1:1" x14ac:dyDescent="0.25">
      <c r="A6" t="s">
        <v>1810</v>
      </c>
    </row>
  </sheetData>
  <pageMargins left="0.7" right="0.7" top="0.78749999999999998" bottom="0.78749999999999998" header="0.511811023622047" footer="0.511811023622047"/>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150"/>
  <sheetViews>
    <sheetView topLeftCell="A4" zoomScaleNormal="100" workbookViewId="0">
      <selection activeCell="E11" sqref="E11"/>
    </sheetView>
  </sheetViews>
  <sheetFormatPr baseColWidth="10" defaultColWidth="11.7109375" defaultRowHeight="15" x14ac:dyDescent="0.25"/>
  <cols>
    <col min="1" max="1" width="19.42578125" customWidth="1"/>
    <col min="8" max="8" width="12.85546875" customWidth="1"/>
  </cols>
  <sheetData>
    <row r="1" spans="1:9" x14ac:dyDescent="0.25">
      <c r="A1" t="s">
        <v>1811</v>
      </c>
    </row>
    <row r="2" spans="1:9" x14ac:dyDescent="0.25">
      <c r="A2" t="s">
        <v>1812</v>
      </c>
    </row>
    <row r="4" spans="1:9" x14ac:dyDescent="0.25">
      <c r="A4" s="48" t="s">
        <v>1813</v>
      </c>
      <c r="B4" s="49" t="s">
        <v>1814</v>
      </c>
    </row>
    <row r="5" spans="1:9" x14ac:dyDescent="0.25">
      <c r="A5" s="27">
        <v>0</v>
      </c>
      <c r="B5" s="50">
        <f t="shared" ref="B5:B11" si="0">ROUNDDOWN((A5-50)/5,0)</f>
        <v>-10</v>
      </c>
    </row>
    <row r="6" spans="1:9" x14ac:dyDescent="0.25">
      <c r="A6" s="27">
        <v>25</v>
      </c>
      <c r="B6" s="50">
        <f t="shared" si="0"/>
        <v>-5</v>
      </c>
    </row>
    <row r="7" spans="1:9" x14ac:dyDescent="0.25">
      <c r="A7" s="27">
        <v>50</v>
      </c>
      <c r="B7" s="50">
        <f t="shared" si="0"/>
        <v>0</v>
      </c>
    </row>
    <row r="8" spans="1:9" x14ac:dyDescent="0.25">
      <c r="A8" s="27">
        <v>75</v>
      </c>
      <c r="B8" s="50">
        <f t="shared" si="0"/>
        <v>5</v>
      </c>
    </row>
    <row r="9" spans="1:9" x14ac:dyDescent="0.25">
      <c r="A9" s="27">
        <v>100</v>
      </c>
      <c r="B9" s="50">
        <f t="shared" si="0"/>
        <v>10</v>
      </c>
    </row>
    <row r="10" spans="1:9" x14ac:dyDescent="0.25">
      <c r="A10" s="27">
        <v>125</v>
      </c>
      <c r="B10" s="50">
        <f t="shared" si="0"/>
        <v>15</v>
      </c>
    </row>
    <row r="11" spans="1:9" x14ac:dyDescent="0.25">
      <c r="A11" s="33">
        <v>150</v>
      </c>
      <c r="B11" s="51">
        <f t="shared" si="0"/>
        <v>20</v>
      </c>
    </row>
    <row r="13" spans="1:9" x14ac:dyDescent="0.25">
      <c r="A13" t="s">
        <v>1815</v>
      </c>
    </row>
    <row r="15" spans="1:9" x14ac:dyDescent="0.25">
      <c r="A15" s="22" t="s">
        <v>1816</v>
      </c>
      <c r="B15" s="35" t="s">
        <v>1817</v>
      </c>
      <c r="C15" s="35" t="s">
        <v>1818</v>
      </c>
      <c r="D15" s="35" t="s">
        <v>1819</v>
      </c>
      <c r="E15" s="35" t="s">
        <v>1820</v>
      </c>
      <c r="F15" s="35" t="s">
        <v>1821</v>
      </c>
      <c r="G15" s="35" t="s">
        <v>1822</v>
      </c>
      <c r="H15" s="35" t="s">
        <v>1823</v>
      </c>
      <c r="I15" s="21" t="s">
        <v>1824</v>
      </c>
    </row>
    <row r="16" spans="1:9" x14ac:dyDescent="0.25">
      <c r="A16" s="52" t="s">
        <v>1817</v>
      </c>
      <c r="B16" s="36">
        <v>0</v>
      </c>
      <c r="C16" s="36">
        <v>100</v>
      </c>
      <c r="D16" s="36">
        <v>100</v>
      </c>
      <c r="E16" s="36">
        <v>100</v>
      </c>
      <c r="F16" s="36">
        <v>100</v>
      </c>
      <c r="G16" s="36">
        <v>100</v>
      </c>
      <c r="H16" s="36">
        <v>100</v>
      </c>
      <c r="I16" s="26">
        <v>100</v>
      </c>
    </row>
    <row r="17" spans="1:9" x14ac:dyDescent="0.25">
      <c r="A17" s="52" t="s">
        <v>1818</v>
      </c>
      <c r="B17" s="36">
        <v>125</v>
      </c>
      <c r="C17" s="36">
        <v>0</v>
      </c>
      <c r="D17" s="36">
        <v>150</v>
      </c>
      <c r="E17" s="36">
        <v>150</v>
      </c>
      <c r="F17" s="36">
        <v>100</v>
      </c>
      <c r="G17" s="36">
        <v>100</v>
      </c>
      <c r="H17" s="36">
        <v>100</v>
      </c>
      <c r="I17" s="26">
        <v>100</v>
      </c>
    </row>
    <row r="18" spans="1:9" x14ac:dyDescent="0.25">
      <c r="A18" s="52" t="s">
        <v>1819</v>
      </c>
      <c r="B18" s="36">
        <v>100</v>
      </c>
      <c r="C18" s="36">
        <v>100</v>
      </c>
      <c r="D18" s="36">
        <v>0</v>
      </c>
      <c r="E18" s="36">
        <v>100</v>
      </c>
      <c r="F18" s="36">
        <v>100</v>
      </c>
      <c r="G18" s="36">
        <v>100</v>
      </c>
      <c r="H18" s="36">
        <v>100</v>
      </c>
      <c r="I18" s="26">
        <v>100</v>
      </c>
    </row>
    <row r="19" spans="1:9" x14ac:dyDescent="0.25">
      <c r="A19" s="52" t="s">
        <v>1820</v>
      </c>
      <c r="B19" s="36">
        <v>100</v>
      </c>
      <c r="C19" s="36">
        <v>100</v>
      </c>
      <c r="D19" s="36">
        <v>100</v>
      </c>
      <c r="E19" s="36">
        <v>0</v>
      </c>
      <c r="F19" s="36">
        <v>100</v>
      </c>
      <c r="G19" s="36">
        <v>100</v>
      </c>
      <c r="H19" s="36">
        <v>100</v>
      </c>
      <c r="I19" s="26">
        <v>100</v>
      </c>
    </row>
    <row r="20" spans="1:9" x14ac:dyDescent="0.25">
      <c r="A20" s="52" t="s">
        <v>1821</v>
      </c>
      <c r="B20" s="36">
        <v>75</v>
      </c>
      <c r="C20" s="36">
        <v>100</v>
      </c>
      <c r="D20" s="36">
        <v>100</v>
      </c>
      <c r="E20" s="36">
        <v>75</v>
      </c>
      <c r="F20" s="36">
        <v>0</v>
      </c>
      <c r="G20" s="36">
        <v>50</v>
      </c>
      <c r="H20" s="36">
        <v>100</v>
      </c>
      <c r="I20" s="26">
        <v>150</v>
      </c>
    </row>
    <row r="21" spans="1:9" x14ac:dyDescent="0.25">
      <c r="A21" s="52" t="s">
        <v>1822</v>
      </c>
      <c r="B21" s="36">
        <v>75</v>
      </c>
      <c r="C21" s="36">
        <v>100</v>
      </c>
      <c r="D21" s="36">
        <v>100</v>
      </c>
      <c r="E21" s="36">
        <v>75</v>
      </c>
      <c r="F21" s="36">
        <v>150</v>
      </c>
      <c r="G21" s="36">
        <v>0</v>
      </c>
      <c r="H21" s="36">
        <v>50</v>
      </c>
      <c r="I21" s="26">
        <v>100</v>
      </c>
    </row>
    <row r="22" spans="1:9" x14ac:dyDescent="0.25">
      <c r="A22" s="52" t="s">
        <v>1823</v>
      </c>
      <c r="B22" s="36">
        <v>75</v>
      </c>
      <c r="C22" s="36">
        <v>75</v>
      </c>
      <c r="D22" s="36">
        <v>100</v>
      </c>
      <c r="E22" s="36">
        <v>125</v>
      </c>
      <c r="F22" s="36">
        <v>100</v>
      </c>
      <c r="G22" s="36">
        <v>150</v>
      </c>
      <c r="H22" s="36">
        <v>0</v>
      </c>
      <c r="I22" s="26">
        <v>50</v>
      </c>
    </row>
    <row r="23" spans="1:9" x14ac:dyDescent="0.25">
      <c r="A23" s="53" t="s">
        <v>1824</v>
      </c>
      <c r="B23" s="38">
        <v>75</v>
      </c>
      <c r="C23" s="38">
        <v>100</v>
      </c>
      <c r="D23" s="38">
        <v>100</v>
      </c>
      <c r="E23" s="38">
        <v>75</v>
      </c>
      <c r="F23" s="38">
        <v>50</v>
      </c>
      <c r="G23" s="38">
        <v>100</v>
      </c>
      <c r="H23" s="38">
        <v>150</v>
      </c>
      <c r="I23" s="32">
        <v>0</v>
      </c>
    </row>
    <row r="25" spans="1:9" x14ac:dyDescent="0.25">
      <c r="A25" t="s">
        <v>1825</v>
      </c>
    </row>
    <row r="27" spans="1:9" x14ac:dyDescent="0.25">
      <c r="A27" t="s">
        <v>1826</v>
      </c>
    </row>
    <row r="28" spans="1:9" x14ac:dyDescent="0.25">
      <c r="A28" t="s">
        <v>1827</v>
      </c>
    </row>
    <row r="30" spans="1:9" x14ac:dyDescent="0.25">
      <c r="A30" t="s">
        <v>1828</v>
      </c>
    </row>
    <row r="32" spans="1:9" x14ac:dyDescent="0.25">
      <c r="A32" s="54" t="s">
        <v>482</v>
      </c>
      <c r="B32" s="54" t="s">
        <v>1829</v>
      </c>
      <c r="C32" s="76" t="s">
        <v>1830</v>
      </c>
      <c r="D32" s="76"/>
      <c r="E32" s="76"/>
      <c r="F32" s="76"/>
      <c r="G32" s="76"/>
      <c r="H32" s="76"/>
    </row>
    <row r="33" spans="1:8" x14ac:dyDescent="0.25">
      <c r="A33" s="36" t="s">
        <v>1831</v>
      </c>
      <c r="B33" s="28" t="s">
        <v>1832</v>
      </c>
      <c r="C33" s="77" t="s">
        <v>1833</v>
      </c>
      <c r="D33" s="77"/>
      <c r="E33" s="77"/>
      <c r="F33" s="77"/>
      <c r="G33" s="77"/>
      <c r="H33" s="77"/>
    </row>
    <row r="34" spans="1:8" x14ac:dyDescent="0.25">
      <c r="A34" s="36" t="s">
        <v>1834</v>
      </c>
      <c r="B34" s="28" t="s">
        <v>1832</v>
      </c>
      <c r="C34" s="77" t="s">
        <v>1833</v>
      </c>
      <c r="D34" s="77"/>
      <c r="E34" s="77"/>
      <c r="F34" s="77"/>
      <c r="G34" s="77"/>
      <c r="H34" s="77"/>
    </row>
    <row r="35" spans="1:8" x14ac:dyDescent="0.25">
      <c r="A35" s="36" t="s">
        <v>1835</v>
      </c>
      <c r="B35" s="28" t="s">
        <v>1832</v>
      </c>
      <c r="C35" s="77" t="s">
        <v>1833</v>
      </c>
      <c r="D35" s="77"/>
      <c r="E35" s="77"/>
      <c r="F35" s="77"/>
      <c r="G35" s="77"/>
      <c r="H35" s="77"/>
    </row>
    <row r="36" spans="1:8" x14ac:dyDescent="0.25">
      <c r="A36" s="36" t="s">
        <v>1836</v>
      </c>
      <c r="B36" s="28" t="s">
        <v>1818</v>
      </c>
      <c r="C36" s="78" t="s">
        <v>1837</v>
      </c>
      <c r="D36" s="78"/>
      <c r="E36" s="78"/>
      <c r="F36" s="78"/>
      <c r="G36" s="78"/>
      <c r="H36" s="78"/>
    </row>
    <row r="37" spans="1:8" x14ac:dyDescent="0.25">
      <c r="A37" s="36" t="s">
        <v>1838</v>
      </c>
      <c r="B37" s="28" t="s">
        <v>1820</v>
      </c>
      <c r="C37" s="77" t="s">
        <v>1839</v>
      </c>
      <c r="D37" s="77"/>
      <c r="E37" s="77"/>
      <c r="F37" s="77"/>
      <c r="G37" s="77"/>
      <c r="H37" s="77"/>
    </row>
    <row r="38" spans="1:8" x14ac:dyDescent="0.25">
      <c r="A38" s="36" t="s">
        <v>1840</v>
      </c>
      <c r="B38" s="28" t="s">
        <v>1818</v>
      </c>
      <c r="C38" s="77" t="s">
        <v>1839</v>
      </c>
      <c r="D38" s="77"/>
      <c r="E38" s="77"/>
      <c r="F38" s="77"/>
      <c r="G38" s="77"/>
      <c r="H38" s="77"/>
    </row>
    <row r="39" spans="1:8" x14ac:dyDescent="0.25">
      <c r="A39" s="36" t="s">
        <v>1841</v>
      </c>
      <c r="B39" s="28" t="s">
        <v>1818</v>
      </c>
      <c r="C39" s="78" t="s">
        <v>1837</v>
      </c>
      <c r="D39" s="78"/>
      <c r="E39" s="78"/>
      <c r="F39" s="78"/>
      <c r="G39" s="78"/>
      <c r="H39" s="78"/>
    </row>
    <row r="40" spans="1:8" x14ac:dyDescent="0.25">
      <c r="A40" s="36" t="s">
        <v>539</v>
      </c>
      <c r="B40" s="28" t="s">
        <v>1818</v>
      </c>
      <c r="C40" s="78" t="s">
        <v>1837</v>
      </c>
      <c r="D40" s="78"/>
      <c r="E40" s="78"/>
      <c r="F40" s="78"/>
      <c r="G40" s="78"/>
      <c r="H40" s="78"/>
    </row>
    <row r="41" spans="1:8" x14ac:dyDescent="0.25">
      <c r="A41" s="36" t="s">
        <v>1842</v>
      </c>
      <c r="B41" s="28" t="s">
        <v>1821</v>
      </c>
      <c r="C41" s="78" t="s">
        <v>1843</v>
      </c>
      <c r="D41" s="78"/>
      <c r="E41" s="78"/>
      <c r="F41" s="78"/>
      <c r="G41" s="78"/>
      <c r="H41" s="78"/>
    </row>
    <row r="42" spans="1:8" x14ac:dyDescent="0.25">
      <c r="A42" s="36" t="s">
        <v>1844</v>
      </c>
      <c r="B42" s="28" t="s">
        <v>1822</v>
      </c>
      <c r="C42" s="78" t="s">
        <v>1845</v>
      </c>
      <c r="D42" s="78"/>
      <c r="E42" s="78"/>
      <c r="F42" s="78"/>
      <c r="G42" s="78"/>
      <c r="H42" s="78"/>
    </row>
    <row r="43" spans="1:8" x14ac:dyDescent="0.25">
      <c r="A43" s="36" t="s">
        <v>1846</v>
      </c>
      <c r="B43" s="28" t="s">
        <v>1823</v>
      </c>
      <c r="C43" s="78" t="s">
        <v>1847</v>
      </c>
      <c r="D43" s="78"/>
      <c r="E43" s="78"/>
      <c r="F43" s="78"/>
      <c r="G43" s="78"/>
      <c r="H43" s="78"/>
    </row>
    <row r="44" spans="1:8" x14ac:dyDescent="0.25">
      <c r="A44" s="36" t="s">
        <v>1848</v>
      </c>
      <c r="B44" s="28" t="s">
        <v>1824</v>
      </c>
      <c r="C44" s="78" t="s">
        <v>1849</v>
      </c>
      <c r="D44" s="78"/>
      <c r="E44" s="78"/>
      <c r="F44" s="78"/>
      <c r="G44" s="78"/>
      <c r="H44" s="78"/>
    </row>
    <row r="48" spans="1:8" x14ac:dyDescent="0.25">
      <c r="A48" s="79" t="s">
        <v>1838</v>
      </c>
      <c r="B48" s="79"/>
      <c r="C48" s="79"/>
      <c r="D48" s="79"/>
      <c r="E48" s="79"/>
      <c r="F48" s="79"/>
      <c r="G48" s="79"/>
      <c r="H48" s="79"/>
    </row>
    <row r="49" spans="1:8" x14ac:dyDescent="0.25">
      <c r="A49" t="s">
        <v>1850</v>
      </c>
    </row>
    <row r="50" spans="1:8" x14ac:dyDescent="0.25">
      <c r="A50" t="s">
        <v>1851</v>
      </c>
    </row>
    <row r="52" spans="1:8" x14ac:dyDescent="0.25">
      <c r="A52" s="79" t="s">
        <v>1840</v>
      </c>
      <c r="B52" s="79"/>
      <c r="C52" s="79"/>
      <c r="D52" s="79"/>
      <c r="E52" s="79"/>
      <c r="F52" s="79"/>
      <c r="G52" s="79"/>
      <c r="H52" s="79"/>
    </row>
    <row r="53" spans="1:8" x14ac:dyDescent="0.25">
      <c r="A53" t="s">
        <v>1852</v>
      </c>
    </row>
    <row r="57" spans="1:8" x14ac:dyDescent="0.25">
      <c r="A57" s="79" t="s">
        <v>1853</v>
      </c>
      <c r="B57" s="79"/>
      <c r="C57" s="79"/>
      <c r="D57" s="79"/>
      <c r="E57" s="79"/>
      <c r="F57" s="79"/>
      <c r="G57" s="79"/>
      <c r="H57" s="79"/>
    </row>
    <row r="58" spans="1:8" x14ac:dyDescent="0.25">
      <c r="A58" t="s">
        <v>1854</v>
      </c>
    </row>
    <row r="59" spans="1:8" x14ac:dyDescent="0.25">
      <c r="A59" t="s">
        <v>1855</v>
      </c>
    </row>
    <row r="60" spans="1:8" x14ac:dyDescent="0.25">
      <c r="A60" t="s">
        <v>1856</v>
      </c>
    </row>
    <row r="61" spans="1:8" x14ac:dyDescent="0.25">
      <c r="A61" t="s">
        <v>1857</v>
      </c>
    </row>
    <row r="62" spans="1:8" x14ac:dyDescent="0.25">
      <c r="A62" t="s">
        <v>1858</v>
      </c>
    </row>
    <row r="63" spans="1:8" x14ac:dyDescent="0.25">
      <c r="A63" t="s">
        <v>1859</v>
      </c>
    </row>
    <row r="65" spans="1:11" x14ac:dyDescent="0.25">
      <c r="A65" t="s">
        <v>1860</v>
      </c>
    </row>
    <row r="66" spans="1:11" x14ac:dyDescent="0.25">
      <c r="A66" t="s">
        <v>1861</v>
      </c>
    </row>
    <row r="67" spans="1:11" x14ac:dyDescent="0.25">
      <c r="A67" s="55" t="s">
        <v>1862</v>
      </c>
    </row>
    <row r="68" spans="1:11" x14ac:dyDescent="0.25">
      <c r="A68" s="55" t="s">
        <v>1863</v>
      </c>
    </row>
    <row r="69" spans="1:11" x14ac:dyDescent="0.25">
      <c r="A69" s="55" t="s">
        <v>1864</v>
      </c>
    </row>
    <row r="71" spans="1:11" x14ac:dyDescent="0.25">
      <c r="A71" t="s">
        <v>1865</v>
      </c>
    </row>
    <row r="72" spans="1:11" x14ac:dyDescent="0.25">
      <c r="A72" t="s">
        <v>1866</v>
      </c>
    </row>
    <row r="73" spans="1:11" x14ac:dyDescent="0.25">
      <c r="H73" s="79" t="s">
        <v>1867</v>
      </c>
      <c r="I73" s="79"/>
      <c r="J73" s="79"/>
      <c r="K73" s="79"/>
    </row>
    <row r="74" spans="1:11" x14ac:dyDescent="0.25">
      <c r="A74" s="55" t="s">
        <v>1868</v>
      </c>
      <c r="H74" t="s">
        <v>1869</v>
      </c>
    </row>
    <row r="75" spans="1:11" x14ac:dyDescent="0.25">
      <c r="A75" s="55" t="s">
        <v>1862</v>
      </c>
      <c r="H75" t="s">
        <v>1870</v>
      </c>
    </row>
    <row r="76" spans="1:11" x14ac:dyDescent="0.25">
      <c r="A76" s="55" t="s">
        <v>1863</v>
      </c>
      <c r="H76" t="s">
        <v>1871</v>
      </c>
    </row>
    <row r="77" spans="1:11" x14ac:dyDescent="0.25">
      <c r="A77" s="55" t="s">
        <v>1864</v>
      </c>
      <c r="C77" t="s">
        <v>1872</v>
      </c>
      <c r="H77" t="s">
        <v>1873</v>
      </c>
    </row>
    <row r="78" spans="1:11" x14ac:dyDescent="0.25">
      <c r="A78" s="55" t="s">
        <v>1874</v>
      </c>
      <c r="H78" t="s">
        <v>1875</v>
      </c>
    </row>
    <row r="79" spans="1:11" x14ac:dyDescent="0.25">
      <c r="A79" s="55" t="s">
        <v>1876</v>
      </c>
      <c r="H79" t="s">
        <v>1877</v>
      </c>
    </row>
    <row r="80" spans="1:11" x14ac:dyDescent="0.25">
      <c r="A80" s="55" t="s">
        <v>1878</v>
      </c>
      <c r="H80" t="s">
        <v>1879</v>
      </c>
    </row>
    <row r="81" spans="1:8" x14ac:dyDescent="0.25">
      <c r="A81" s="55" t="s">
        <v>1880</v>
      </c>
      <c r="C81" t="s">
        <v>1881</v>
      </c>
      <c r="H81" t="s">
        <v>1882</v>
      </c>
    </row>
    <row r="82" spans="1:8" x14ac:dyDescent="0.25">
      <c r="A82" s="55" t="s">
        <v>1876</v>
      </c>
      <c r="H82" t="s">
        <v>1877</v>
      </c>
    </row>
    <row r="83" spans="1:8" x14ac:dyDescent="0.25">
      <c r="A83" s="55" t="s">
        <v>1883</v>
      </c>
      <c r="H83" t="s">
        <v>1879</v>
      </c>
    </row>
    <row r="84" spans="1:8" x14ac:dyDescent="0.25">
      <c r="A84" s="55" t="s">
        <v>1884</v>
      </c>
      <c r="H84" t="s">
        <v>1885</v>
      </c>
    </row>
    <row r="85" spans="1:8" x14ac:dyDescent="0.25">
      <c r="A85" s="55" t="s">
        <v>1886</v>
      </c>
      <c r="H85" t="s">
        <v>1887</v>
      </c>
    </row>
    <row r="86" spans="1:8" x14ac:dyDescent="0.25">
      <c r="A86" s="55" t="s">
        <v>1888</v>
      </c>
      <c r="H86" t="s">
        <v>1889</v>
      </c>
    </row>
    <row r="87" spans="1:8" x14ac:dyDescent="0.25">
      <c r="A87" s="55" t="s">
        <v>1890</v>
      </c>
      <c r="C87" t="s">
        <v>1891</v>
      </c>
      <c r="H87" t="s">
        <v>1892</v>
      </c>
    </row>
    <row r="88" spans="1:8" x14ac:dyDescent="0.25">
      <c r="A88" s="55" t="s">
        <v>1893</v>
      </c>
      <c r="H88" t="s">
        <v>1894</v>
      </c>
    </row>
    <row r="89" spans="1:8" x14ac:dyDescent="0.25">
      <c r="A89" s="55" t="s">
        <v>1895</v>
      </c>
      <c r="H89" t="s">
        <v>1896</v>
      </c>
    </row>
    <row r="90" spans="1:8" x14ac:dyDescent="0.25">
      <c r="A90" s="55" t="s">
        <v>1897</v>
      </c>
      <c r="C90" t="s">
        <v>1898</v>
      </c>
      <c r="H90" t="s">
        <v>1899</v>
      </c>
    </row>
    <row r="91" spans="1:8" x14ac:dyDescent="0.25">
      <c r="A91" s="55" t="s">
        <v>1900</v>
      </c>
      <c r="H91" t="s">
        <v>1901</v>
      </c>
    </row>
    <row r="92" spans="1:8" x14ac:dyDescent="0.25">
      <c r="A92" s="55" t="s">
        <v>1902</v>
      </c>
      <c r="C92" t="s">
        <v>1903</v>
      </c>
      <c r="H92" t="s">
        <v>1904</v>
      </c>
    </row>
    <row r="93" spans="1:8" x14ac:dyDescent="0.25">
      <c r="A93" s="55" t="s">
        <v>1905</v>
      </c>
      <c r="C93" t="s">
        <v>1906</v>
      </c>
      <c r="H93" t="s">
        <v>1907</v>
      </c>
    </row>
    <row r="94" spans="1:8" x14ac:dyDescent="0.25">
      <c r="A94" s="55" t="s">
        <v>1908</v>
      </c>
      <c r="H94" t="s">
        <v>1909</v>
      </c>
    </row>
    <row r="95" spans="1:8" x14ac:dyDescent="0.25">
      <c r="A95" s="55" t="s">
        <v>1910</v>
      </c>
      <c r="H95" t="s">
        <v>1911</v>
      </c>
    </row>
    <row r="96" spans="1:8" x14ac:dyDescent="0.25">
      <c r="A96" s="55" t="s">
        <v>1912</v>
      </c>
      <c r="H96" t="s">
        <v>1913</v>
      </c>
    </row>
    <row r="97" spans="1:8" x14ac:dyDescent="0.25">
      <c r="A97" s="55" t="s">
        <v>1914</v>
      </c>
      <c r="H97" t="s">
        <v>1915</v>
      </c>
    </row>
    <row r="98" spans="1:8" x14ac:dyDescent="0.25">
      <c r="A98" s="55" t="s">
        <v>1916</v>
      </c>
      <c r="H98" t="s">
        <v>1917</v>
      </c>
    </row>
    <row r="99" spans="1:8" x14ac:dyDescent="0.25">
      <c r="A99" s="55" t="s">
        <v>1918</v>
      </c>
      <c r="C99" t="s">
        <v>1919</v>
      </c>
      <c r="H99" t="s">
        <v>1920</v>
      </c>
    </row>
    <row r="100" spans="1:8" x14ac:dyDescent="0.25">
      <c r="A100" s="55" t="s">
        <v>1921</v>
      </c>
      <c r="C100" t="s">
        <v>1922</v>
      </c>
      <c r="H100" t="s">
        <v>1923</v>
      </c>
    </row>
    <row r="101" spans="1:8" x14ac:dyDescent="0.25">
      <c r="A101" s="55" t="s">
        <v>1924</v>
      </c>
      <c r="C101" t="s">
        <v>1925</v>
      </c>
      <c r="H101" t="s">
        <v>1926</v>
      </c>
    </row>
    <row r="102" spans="1:8" x14ac:dyDescent="0.25">
      <c r="A102" s="55" t="s">
        <v>1927</v>
      </c>
      <c r="C102" t="s">
        <v>1928</v>
      </c>
      <c r="H102" t="s">
        <v>1879</v>
      </c>
    </row>
    <row r="103" spans="1:8" x14ac:dyDescent="0.25">
      <c r="A103" s="55" t="s">
        <v>1929</v>
      </c>
      <c r="H103" t="s">
        <v>1930</v>
      </c>
    </row>
    <row r="104" spans="1:8" x14ac:dyDescent="0.25">
      <c r="A104" s="55" t="s">
        <v>1931</v>
      </c>
      <c r="C104" t="s">
        <v>1932</v>
      </c>
      <c r="H104" t="s">
        <v>1933</v>
      </c>
    </row>
    <row r="105" spans="1:8" x14ac:dyDescent="0.25">
      <c r="A105" s="55" t="s">
        <v>1934</v>
      </c>
      <c r="C105" t="s">
        <v>1935</v>
      </c>
      <c r="H105" t="s">
        <v>1936</v>
      </c>
    </row>
    <row r="106" spans="1:8" x14ac:dyDescent="0.25">
      <c r="A106" s="55" t="s">
        <v>1937</v>
      </c>
      <c r="C106" t="s">
        <v>1938</v>
      </c>
      <c r="H106" t="s">
        <v>1939</v>
      </c>
    </row>
    <row r="107" spans="1:8" x14ac:dyDescent="0.25">
      <c r="A107" s="55" t="s">
        <v>1940</v>
      </c>
      <c r="C107" t="s">
        <v>1941</v>
      </c>
      <c r="H107" t="s">
        <v>1942</v>
      </c>
    </row>
    <row r="108" spans="1:8" x14ac:dyDescent="0.25">
      <c r="A108" s="55" t="s">
        <v>1943</v>
      </c>
      <c r="H108" t="s">
        <v>1930</v>
      </c>
    </row>
    <row r="109" spans="1:8" x14ac:dyDescent="0.25">
      <c r="A109" s="55" t="s">
        <v>1944</v>
      </c>
      <c r="C109" t="s">
        <v>1945</v>
      </c>
    </row>
    <row r="110" spans="1:8" x14ac:dyDescent="0.25">
      <c r="A110" s="55" t="s">
        <v>1946</v>
      </c>
    </row>
    <row r="111" spans="1:8" x14ac:dyDescent="0.25">
      <c r="A111" s="55" t="s">
        <v>1947</v>
      </c>
    </row>
    <row r="114" spans="1:3" x14ac:dyDescent="0.25">
      <c r="A114" s="55" t="s">
        <v>1948</v>
      </c>
    </row>
    <row r="115" spans="1:3" x14ac:dyDescent="0.25">
      <c r="A115" s="55" t="s">
        <v>1949</v>
      </c>
    </row>
    <row r="116" spans="1:3" x14ac:dyDescent="0.25">
      <c r="A116" s="55" t="s">
        <v>1950</v>
      </c>
    </row>
    <row r="117" spans="1:3" x14ac:dyDescent="0.25">
      <c r="A117" s="55" t="s">
        <v>1951</v>
      </c>
      <c r="C117" t="s">
        <v>1952</v>
      </c>
    </row>
    <row r="118" spans="1:3" x14ac:dyDescent="0.25">
      <c r="A118" s="55" t="s">
        <v>1953</v>
      </c>
      <c r="C118" t="s">
        <v>1954</v>
      </c>
    </row>
    <row r="119" spans="1:3" x14ac:dyDescent="0.25">
      <c r="A119" s="55" t="s">
        <v>1955</v>
      </c>
      <c r="C119" t="s">
        <v>1956</v>
      </c>
    </row>
    <row r="120" spans="1:3" x14ac:dyDescent="0.25">
      <c r="A120" s="55" t="s">
        <v>1957</v>
      </c>
    </row>
    <row r="121" spans="1:3" x14ac:dyDescent="0.25">
      <c r="A121" s="55" t="s">
        <v>1878</v>
      </c>
    </row>
    <row r="122" spans="1:3" x14ac:dyDescent="0.25">
      <c r="A122" s="55" t="s">
        <v>1880</v>
      </c>
      <c r="C122" t="s">
        <v>1958</v>
      </c>
    </row>
    <row r="123" spans="1:3" x14ac:dyDescent="0.25">
      <c r="A123" s="55" t="s">
        <v>1957</v>
      </c>
    </row>
    <row r="124" spans="1:3" x14ac:dyDescent="0.25">
      <c r="A124" s="55" t="s">
        <v>1883</v>
      </c>
      <c r="C124" t="s">
        <v>1959</v>
      </c>
    </row>
    <row r="125" spans="1:3" x14ac:dyDescent="0.25">
      <c r="A125" s="55" t="s">
        <v>1960</v>
      </c>
      <c r="C125" t="s">
        <v>1961</v>
      </c>
    </row>
    <row r="126" spans="1:3" x14ac:dyDescent="0.25">
      <c r="A126" s="55" t="s">
        <v>1951</v>
      </c>
      <c r="C126" t="s">
        <v>1952</v>
      </c>
    </row>
    <row r="127" spans="1:3" x14ac:dyDescent="0.25">
      <c r="A127" s="55" t="s">
        <v>1962</v>
      </c>
      <c r="C127" t="s">
        <v>1963</v>
      </c>
    </row>
    <row r="128" spans="1:3" x14ac:dyDescent="0.25">
      <c r="A128" s="55" t="s">
        <v>1964</v>
      </c>
      <c r="C128" t="s">
        <v>1965</v>
      </c>
    </row>
    <row r="129" spans="1:3" x14ac:dyDescent="0.25">
      <c r="A129" s="55" t="s">
        <v>1966</v>
      </c>
      <c r="C129" t="s">
        <v>1967</v>
      </c>
    </row>
    <row r="130" spans="1:3" x14ac:dyDescent="0.25">
      <c r="A130" s="55" t="s">
        <v>1968</v>
      </c>
      <c r="C130" t="s">
        <v>1969</v>
      </c>
    </row>
    <row r="131" spans="1:3" x14ac:dyDescent="0.25">
      <c r="A131" s="55" t="s">
        <v>1970</v>
      </c>
    </row>
    <row r="132" spans="1:3" x14ac:dyDescent="0.25">
      <c r="A132" s="55" t="s">
        <v>1971</v>
      </c>
      <c r="C132" t="s">
        <v>1972</v>
      </c>
    </row>
    <row r="133" spans="1:3" x14ac:dyDescent="0.25">
      <c r="A133" s="55" t="s">
        <v>1973</v>
      </c>
    </row>
    <row r="134" spans="1:3" x14ac:dyDescent="0.25">
      <c r="A134" s="55" t="s">
        <v>1947</v>
      </c>
    </row>
    <row r="135" spans="1:3" x14ac:dyDescent="0.25">
      <c r="A135" s="55"/>
    </row>
    <row r="136" spans="1:3" x14ac:dyDescent="0.25">
      <c r="A136" s="55"/>
    </row>
    <row r="137" spans="1:3" x14ac:dyDescent="0.25">
      <c r="A137" t="s">
        <v>1974</v>
      </c>
    </row>
    <row r="138" spans="1:3" x14ac:dyDescent="0.25">
      <c r="A138" s="55" t="s">
        <v>1975</v>
      </c>
      <c r="C138" t="s">
        <v>1976</v>
      </c>
    </row>
    <row r="139" spans="1:3" x14ac:dyDescent="0.25">
      <c r="A139" s="55" t="s">
        <v>1977</v>
      </c>
      <c r="C139" t="s">
        <v>1978</v>
      </c>
    </row>
    <row r="140" spans="1:3" x14ac:dyDescent="0.25">
      <c r="A140" s="55" t="s">
        <v>1979</v>
      </c>
    </row>
    <row r="141" spans="1:3" x14ac:dyDescent="0.25">
      <c r="A141" s="55" t="s">
        <v>1980</v>
      </c>
    </row>
    <row r="142" spans="1:3" x14ac:dyDescent="0.25">
      <c r="A142" s="55" t="s">
        <v>1981</v>
      </c>
    </row>
    <row r="143" spans="1:3" x14ac:dyDescent="0.25">
      <c r="A143" s="55" t="s">
        <v>1982</v>
      </c>
    </row>
    <row r="144" spans="1:3" x14ac:dyDescent="0.25">
      <c r="A144" s="55" t="s">
        <v>1983</v>
      </c>
    </row>
    <row r="145" spans="1:1" x14ac:dyDescent="0.25">
      <c r="A145" s="55" t="s">
        <v>1984</v>
      </c>
    </row>
    <row r="146" spans="1:1" x14ac:dyDescent="0.25">
      <c r="A146" s="55" t="s">
        <v>1985</v>
      </c>
    </row>
    <row r="147" spans="1:1" x14ac:dyDescent="0.25">
      <c r="A147" s="55" t="s">
        <v>1986</v>
      </c>
    </row>
    <row r="148" spans="1:1" x14ac:dyDescent="0.25">
      <c r="A148" s="55" t="s">
        <v>1987</v>
      </c>
    </row>
    <row r="149" spans="1:1" x14ac:dyDescent="0.25">
      <c r="A149" s="55" t="s">
        <v>1988</v>
      </c>
    </row>
    <row r="150" spans="1:1" x14ac:dyDescent="0.25">
      <c r="A150" s="55" t="s">
        <v>1947</v>
      </c>
    </row>
  </sheetData>
  <mergeCells count="17">
    <mergeCell ref="A57:H57"/>
    <mergeCell ref="H73:K73"/>
    <mergeCell ref="C42:H42"/>
    <mergeCell ref="C43:H43"/>
    <mergeCell ref="C44:H44"/>
    <mergeCell ref="A48:H48"/>
    <mergeCell ref="A52:H52"/>
    <mergeCell ref="C37:H37"/>
    <mergeCell ref="C38:H38"/>
    <mergeCell ref="C39:H39"/>
    <mergeCell ref="C40:H40"/>
    <mergeCell ref="C41:H41"/>
    <mergeCell ref="C32:H32"/>
    <mergeCell ref="C33:H33"/>
    <mergeCell ref="C34:H34"/>
    <mergeCell ref="C35:H35"/>
    <mergeCell ref="C36:H36"/>
  </mergeCells>
  <pageMargins left="0.7" right="0.7" top="0.78749999999999998" bottom="0.78749999999999998" header="0.511811023622047" footer="0.511811023622047"/>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6"/>
  <sheetViews>
    <sheetView zoomScaleNormal="100" workbookViewId="0">
      <selection activeCell="I16" sqref="I16"/>
    </sheetView>
  </sheetViews>
  <sheetFormatPr baseColWidth="10" defaultColWidth="11.7109375" defaultRowHeight="15" x14ac:dyDescent="0.25"/>
  <cols>
    <col min="3" max="3" width="33.85546875" customWidth="1"/>
    <col min="4" max="4" width="14.7109375" customWidth="1"/>
  </cols>
  <sheetData>
    <row r="1" spans="1:5" x14ac:dyDescent="0.25">
      <c r="A1" s="79" t="s">
        <v>1989</v>
      </c>
      <c r="B1" s="79"/>
      <c r="C1" s="79"/>
      <c r="D1" s="79"/>
      <c r="E1" s="79"/>
    </row>
    <row r="2" spans="1:5" x14ac:dyDescent="0.25">
      <c r="A2" s="56" t="s">
        <v>834</v>
      </c>
      <c r="B2" s="56" t="s">
        <v>483</v>
      </c>
      <c r="C2" s="56" t="s">
        <v>482</v>
      </c>
      <c r="D2" s="56" t="s">
        <v>1990</v>
      </c>
      <c r="E2" s="56" t="s">
        <v>1690</v>
      </c>
    </row>
    <row r="3" spans="1:5" x14ac:dyDescent="0.25">
      <c r="A3" s="36">
        <v>464</v>
      </c>
      <c r="B3" s="56" t="s">
        <v>990</v>
      </c>
      <c r="C3" s="36" t="s">
        <v>1991</v>
      </c>
      <c r="D3" s="36">
        <v>7</v>
      </c>
      <c r="E3" s="36">
        <v>9</v>
      </c>
    </row>
    <row r="4" spans="1:5" x14ac:dyDescent="0.25">
      <c r="A4" s="36">
        <v>465</v>
      </c>
      <c r="B4" s="56" t="s">
        <v>995</v>
      </c>
      <c r="C4" s="36" t="s">
        <v>1992</v>
      </c>
      <c r="D4" s="57" t="s">
        <v>1993</v>
      </c>
      <c r="E4" s="36">
        <v>6</v>
      </c>
    </row>
    <row r="5" spans="1:5" x14ac:dyDescent="0.25">
      <c r="A5" s="58">
        <v>466</v>
      </c>
      <c r="B5" s="59" t="s">
        <v>995</v>
      </c>
      <c r="C5" s="58" t="s">
        <v>1994</v>
      </c>
      <c r="D5" s="57" t="s">
        <v>1993</v>
      </c>
      <c r="E5" s="58">
        <v>6</v>
      </c>
    </row>
    <row r="6" spans="1:5" x14ac:dyDescent="0.25">
      <c r="A6" s="58">
        <v>467</v>
      </c>
      <c r="B6" s="59" t="s">
        <v>990</v>
      </c>
      <c r="C6" s="58" t="s">
        <v>1995</v>
      </c>
      <c r="D6" s="60" t="s">
        <v>1996</v>
      </c>
      <c r="E6" s="58">
        <v>1</v>
      </c>
    </row>
  </sheetData>
  <mergeCells count="1">
    <mergeCell ref="A1:E1"/>
  </mergeCells>
  <pageMargins left="0.7" right="0.7" top="0.78749999999999998" bottom="0.78749999999999998" header="0.511811023622047" footer="0.511811023622047"/>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10"/>
  <sheetViews>
    <sheetView zoomScaleNormal="100" workbookViewId="0">
      <selection activeCell="A11" sqref="A11"/>
    </sheetView>
  </sheetViews>
  <sheetFormatPr baseColWidth="10" defaultColWidth="12.5703125" defaultRowHeight="15" x14ac:dyDescent="0.25"/>
  <sheetData>
    <row r="1" spans="1:1" x14ac:dyDescent="0.25">
      <c r="A1" t="s">
        <v>1997</v>
      </c>
    </row>
    <row r="2" spans="1:1" x14ac:dyDescent="0.25">
      <c r="A2" t="s">
        <v>1998</v>
      </c>
    </row>
    <row r="3" spans="1:1" x14ac:dyDescent="0.25">
      <c r="A3" t="s">
        <v>1999</v>
      </c>
    </row>
    <row r="4" spans="1:1" x14ac:dyDescent="0.25">
      <c r="A4" t="s">
        <v>2000</v>
      </c>
    </row>
    <row r="5" spans="1:1" x14ac:dyDescent="0.25">
      <c r="A5" t="s">
        <v>2001</v>
      </c>
    </row>
    <row r="6" spans="1:1" x14ac:dyDescent="0.25">
      <c r="A6" t="s">
        <v>2002</v>
      </c>
    </row>
    <row r="7" spans="1:1" x14ac:dyDescent="0.25">
      <c r="A7" t="s">
        <v>2003</v>
      </c>
    </row>
    <row r="8" spans="1:1" x14ac:dyDescent="0.25">
      <c r="A8" t="s">
        <v>2004</v>
      </c>
    </row>
    <row r="9" spans="1:1" x14ac:dyDescent="0.25">
      <c r="A9" t="s">
        <v>2005</v>
      </c>
    </row>
    <row r="10" spans="1:1" x14ac:dyDescent="0.25">
      <c r="A10" t="s">
        <v>2006</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Roman,Regular"&amp;12&amp;KffffffSeite &amp;P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Q10"/>
  <sheetViews>
    <sheetView zoomScaleNormal="100" workbookViewId="0">
      <selection activeCell="I11" sqref="I11"/>
    </sheetView>
  </sheetViews>
  <sheetFormatPr baseColWidth="10" defaultColWidth="12.5703125" defaultRowHeight="15" x14ac:dyDescent="0.25"/>
  <sheetData>
    <row r="1" spans="1:17" x14ac:dyDescent="0.25">
      <c r="A1" s="80" t="s">
        <v>2007</v>
      </c>
      <c r="B1" s="80"/>
      <c r="C1" s="80"/>
      <c r="D1" s="80"/>
      <c r="E1" s="80" t="s">
        <v>2008</v>
      </c>
      <c r="F1" s="80"/>
      <c r="G1" s="80"/>
      <c r="H1" s="80"/>
      <c r="I1" s="80" t="s">
        <v>2009</v>
      </c>
      <c r="J1" s="80"/>
      <c r="K1" s="80"/>
      <c r="L1" s="80"/>
      <c r="M1" s="80"/>
      <c r="N1" s="80"/>
      <c r="O1" s="80"/>
      <c r="P1" s="80"/>
      <c r="Q1" s="80"/>
    </row>
    <row r="2" spans="1:17" x14ac:dyDescent="0.25">
      <c r="A2">
        <v>24</v>
      </c>
      <c r="B2" t="s">
        <v>2010</v>
      </c>
      <c r="E2">
        <v>21</v>
      </c>
      <c r="F2" t="s">
        <v>2011</v>
      </c>
      <c r="I2" t="s">
        <v>2012</v>
      </c>
    </row>
    <row r="3" spans="1:17" x14ac:dyDescent="0.25">
      <c r="E3">
        <v>22</v>
      </c>
      <c r="F3" t="s">
        <v>2013</v>
      </c>
      <c r="I3" t="s">
        <v>2014</v>
      </c>
    </row>
    <row r="4" spans="1:17" x14ac:dyDescent="0.25">
      <c r="E4">
        <v>23</v>
      </c>
      <c r="F4" t="s">
        <v>2015</v>
      </c>
      <c r="I4" t="s">
        <v>2016</v>
      </c>
    </row>
    <row r="5" spans="1:17" x14ac:dyDescent="0.25">
      <c r="E5">
        <v>24</v>
      </c>
      <c r="F5" t="s">
        <v>2017</v>
      </c>
      <c r="I5" t="s">
        <v>2018</v>
      </c>
    </row>
    <row r="6" spans="1:17" x14ac:dyDescent="0.25">
      <c r="I6" t="s">
        <v>2019</v>
      </c>
    </row>
    <row r="7" spans="1:17" x14ac:dyDescent="0.25">
      <c r="I7" t="s">
        <v>2020</v>
      </c>
    </row>
    <row r="8" spans="1:17" x14ac:dyDescent="0.25">
      <c r="I8" t="s">
        <v>2021</v>
      </c>
    </row>
    <row r="9" spans="1:17" x14ac:dyDescent="0.25">
      <c r="I9" t="s">
        <v>2022</v>
      </c>
    </row>
    <row r="10" spans="1:17" x14ac:dyDescent="0.25">
      <c r="I10" t="s">
        <v>2023</v>
      </c>
    </row>
  </sheetData>
  <mergeCells count="3">
    <mergeCell ref="A1:D1"/>
    <mergeCell ref="E1:H1"/>
    <mergeCell ref="I1:Q1"/>
  </mergeCells>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Roman,Regular"&amp;12&amp;KffffffSeite &amp;P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M51"/>
  <sheetViews>
    <sheetView zoomScaleNormal="100" workbookViewId="0">
      <selection activeCell="H22" sqref="H22"/>
    </sheetView>
  </sheetViews>
  <sheetFormatPr baseColWidth="10" defaultColWidth="12" defaultRowHeight="15" x14ac:dyDescent="0.25"/>
  <cols>
    <col min="7" max="7" width="13.140625" customWidth="1"/>
  </cols>
  <sheetData>
    <row r="1" spans="1:13" x14ac:dyDescent="0.25">
      <c r="A1" s="3" t="s">
        <v>2024</v>
      </c>
      <c r="B1" s="3" t="s">
        <v>2025</v>
      </c>
      <c r="C1" s="3" t="s">
        <v>2026</v>
      </c>
      <c r="G1" s="3" t="s">
        <v>1494</v>
      </c>
      <c r="H1" s="3" t="s">
        <v>2027</v>
      </c>
      <c r="I1" s="3" t="s">
        <v>2028</v>
      </c>
      <c r="J1" s="3" t="s">
        <v>2029</v>
      </c>
      <c r="M1" t="s">
        <v>2030</v>
      </c>
    </row>
    <row r="2" spans="1:13" x14ac:dyDescent="0.25">
      <c r="A2">
        <v>1</v>
      </c>
      <c r="B2">
        <v>0</v>
      </c>
      <c r="C2">
        <v>0</v>
      </c>
      <c r="G2" t="s">
        <v>1503</v>
      </c>
      <c r="H2">
        <v>85</v>
      </c>
      <c r="I2">
        <f t="shared" ref="I2:I10" si="0">VLOOKUP($H$15,$A$2:$B$51,2,0)*H2</f>
        <v>87975</v>
      </c>
      <c r="J2">
        <f t="shared" ref="J2:J10" si="1">VLOOKUP($H$15,$A$2:$C$51,3,0)*H2</f>
        <v>1378190</v>
      </c>
      <c r="M2">
        <v>75</v>
      </c>
    </row>
    <row r="3" spans="1:13" x14ac:dyDescent="0.25">
      <c r="A3">
        <v>2</v>
      </c>
      <c r="B3">
        <f t="shared" ref="B3:B34" si="2">(A3*A3+A3)/2</f>
        <v>3</v>
      </c>
      <c r="C3">
        <f>B3</f>
        <v>3</v>
      </c>
      <c r="G3" t="s">
        <v>1505</v>
      </c>
      <c r="H3">
        <v>110</v>
      </c>
      <c r="I3">
        <f t="shared" si="0"/>
        <v>113850</v>
      </c>
      <c r="J3">
        <f t="shared" si="1"/>
        <v>1783540</v>
      </c>
      <c r="M3">
        <v>150</v>
      </c>
    </row>
    <row r="4" spans="1:13" x14ac:dyDescent="0.25">
      <c r="A4">
        <v>3</v>
      </c>
      <c r="B4">
        <f t="shared" si="2"/>
        <v>6</v>
      </c>
      <c r="C4">
        <f t="shared" ref="C4:C51" si="3">C3+B4</f>
        <v>9</v>
      </c>
      <c r="G4" t="s">
        <v>1506</v>
      </c>
      <c r="H4">
        <v>115</v>
      </c>
      <c r="I4">
        <f t="shared" si="0"/>
        <v>119025</v>
      </c>
      <c r="J4">
        <f t="shared" si="1"/>
        <v>1864610</v>
      </c>
      <c r="M4">
        <v>180</v>
      </c>
    </row>
    <row r="5" spans="1:13" x14ac:dyDescent="0.25">
      <c r="A5">
        <v>4</v>
      </c>
      <c r="B5">
        <f t="shared" si="2"/>
        <v>10</v>
      </c>
      <c r="C5">
        <f t="shared" si="3"/>
        <v>19</v>
      </c>
      <c r="G5" t="s">
        <v>1509</v>
      </c>
      <c r="H5">
        <v>100</v>
      </c>
      <c r="I5">
        <f t="shared" si="0"/>
        <v>103500</v>
      </c>
      <c r="J5">
        <f t="shared" si="1"/>
        <v>1621400</v>
      </c>
      <c r="M5">
        <v>100</v>
      </c>
    </row>
    <row r="6" spans="1:13" x14ac:dyDescent="0.25">
      <c r="A6">
        <v>5</v>
      </c>
      <c r="B6">
        <f t="shared" si="2"/>
        <v>15</v>
      </c>
      <c r="C6">
        <f t="shared" si="3"/>
        <v>34</v>
      </c>
      <c r="G6" t="s">
        <v>1511</v>
      </c>
      <c r="H6">
        <v>105</v>
      </c>
      <c r="I6">
        <f t="shared" si="0"/>
        <v>108675</v>
      </c>
      <c r="J6">
        <f t="shared" si="1"/>
        <v>1702470</v>
      </c>
      <c r="M6">
        <v>125</v>
      </c>
    </row>
    <row r="7" spans="1:13" x14ac:dyDescent="0.25">
      <c r="A7">
        <v>6</v>
      </c>
      <c r="B7">
        <f t="shared" si="2"/>
        <v>21</v>
      </c>
      <c r="C7">
        <f t="shared" si="3"/>
        <v>55</v>
      </c>
      <c r="G7" t="s">
        <v>1513</v>
      </c>
      <c r="H7">
        <v>90</v>
      </c>
      <c r="I7">
        <f t="shared" si="0"/>
        <v>93150</v>
      </c>
      <c r="J7">
        <f t="shared" si="1"/>
        <v>1459260</v>
      </c>
      <c r="M7">
        <v>90</v>
      </c>
    </row>
    <row r="8" spans="1:13" x14ac:dyDescent="0.25">
      <c r="A8">
        <v>7</v>
      </c>
      <c r="B8">
        <f t="shared" si="2"/>
        <v>28</v>
      </c>
      <c r="C8">
        <f t="shared" si="3"/>
        <v>83</v>
      </c>
      <c r="G8" t="s">
        <v>17</v>
      </c>
      <c r="H8">
        <v>90</v>
      </c>
      <c r="I8">
        <f t="shared" si="0"/>
        <v>93150</v>
      </c>
      <c r="J8">
        <f t="shared" si="1"/>
        <v>1459260</v>
      </c>
      <c r="M8">
        <v>90</v>
      </c>
    </row>
    <row r="9" spans="1:13" x14ac:dyDescent="0.25">
      <c r="A9">
        <v>8</v>
      </c>
      <c r="B9">
        <f t="shared" si="2"/>
        <v>36</v>
      </c>
      <c r="C9">
        <f t="shared" si="3"/>
        <v>119</v>
      </c>
      <c r="G9" t="s">
        <v>1517</v>
      </c>
      <c r="H9">
        <v>90</v>
      </c>
      <c r="I9">
        <f t="shared" si="0"/>
        <v>93150</v>
      </c>
      <c r="J9">
        <f t="shared" si="1"/>
        <v>1459260</v>
      </c>
      <c r="M9">
        <v>90</v>
      </c>
    </row>
    <row r="10" spans="1:13" x14ac:dyDescent="0.25">
      <c r="A10">
        <v>9</v>
      </c>
      <c r="B10">
        <f t="shared" si="2"/>
        <v>45</v>
      </c>
      <c r="C10">
        <f t="shared" si="3"/>
        <v>164</v>
      </c>
      <c r="G10" t="s">
        <v>2031</v>
      </c>
      <c r="H10">
        <v>95</v>
      </c>
      <c r="I10">
        <f t="shared" si="0"/>
        <v>98325</v>
      </c>
      <c r="J10">
        <f t="shared" si="1"/>
        <v>1540330</v>
      </c>
      <c r="M10">
        <v>95</v>
      </c>
    </row>
    <row r="11" spans="1:13" x14ac:dyDescent="0.25">
      <c r="A11">
        <v>10</v>
      </c>
      <c r="B11">
        <f t="shared" si="2"/>
        <v>55</v>
      </c>
      <c r="C11">
        <f t="shared" si="3"/>
        <v>219</v>
      </c>
    </row>
    <row r="12" spans="1:13" x14ac:dyDescent="0.25">
      <c r="A12">
        <v>11</v>
      </c>
      <c r="B12">
        <f t="shared" si="2"/>
        <v>66</v>
      </c>
      <c r="C12">
        <f t="shared" si="3"/>
        <v>285</v>
      </c>
    </row>
    <row r="13" spans="1:13" x14ac:dyDescent="0.25">
      <c r="A13">
        <v>12</v>
      </c>
      <c r="B13">
        <f t="shared" si="2"/>
        <v>78</v>
      </c>
      <c r="C13">
        <f t="shared" si="3"/>
        <v>363</v>
      </c>
    </row>
    <row r="14" spans="1:13" x14ac:dyDescent="0.25">
      <c r="A14">
        <v>13</v>
      </c>
      <c r="B14">
        <f t="shared" si="2"/>
        <v>91</v>
      </c>
      <c r="C14">
        <f t="shared" si="3"/>
        <v>454</v>
      </c>
    </row>
    <row r="15" spans="1:13" x14ac:dyDescent="0.25">
      <c r="A15">
        <v>14</v>
      </c>
      <c r="B15">
        <f t="shared" si="2"/>
        <v>105</v>
      </c>
      <c r="C15">
        <f t="shared" si="3"/>
        <v>559</v>
      </c>
      <c r="G15" s="61" t="s">
        <v>2032</v>
      </c>
      <c r="H15" s="62">
        <v>45</v>
      </c>
    </row>
    <row r="16" spans="1:13" x14ac:dyDescent="0.25">
      <c r="A16">
        <v>15</v>
      </c>
      <c r="B16">
        <f t="shared" si="2"/>
        <v>120</v>
      </c>
      <c r="C16">
        <f t="shared" si="3"/>
        <v>679</v>
      </c>
      <c r="H16" s="63"/>
    </row>
    <row r="17" spans="1:8" x14ac:dyDescent="0.25">
      <c r="A17">
        <v>16</v>
      </c>
      <c r="B17">
        <f t="shared" si="2"/>
        <v>136</v>
      </c>
      <c r="C17">
        <f t="shared" si="3"/>
        <v>815</v>
      </c>
    </row>
    <row r="18" spans="1:8" x14ac:dyDescent="0.25">
      <c r="A18">
        <v>17</v>
      </c>
      <c r="B18">
        <f t="shared" si="2"/>
        <v>153</v>
      </c>
      <c r="C18">
        <f t="shared" si="3"/>
        <v>968</v>
      </c>
    </row>
    <row r="19" spans="1:8" x14ac:dyDescent="0.25">
      <c r="A19">
        <v>18</v>
      </c>
      <c r="B19">
        <f t="shared" si="2"/>
        <v>171</v>
      </c>
      <c r="C19">
        <f t="shared" si="3"/>
        <v>1139</v>
      </c>
    </row>
    <row r="20" spans="1:8" x14ac:dyDescent="0.25">
      <c r="A20">
        <v>19</v>
      </c>
      <c r="B20">
        <f t="shared" si="2"/>
        <v>190</v>
      </c>
      <c r="C20">
        <f t="shared" si="3"/>
        <v>1329</v>
      </c>
      <c r="G20" t="s">
        <v>2033</v>
      </c>
    </row>
    <row r="21" spans="1:8" x14ac:dyDescent="0.25">
      <c r="A21">
        <v>20</v>
      </c>
      <c r="B21">
        <f t="shared" si="2"/>
        <v>210</v>
      </c>
      <c r="C21">
        <f t="shared" si="3"/>
        <v>1539</v>
      </c>
    </row>
    <row r="22" spans="1:8" x14ac:dyDescent="0.25">
      <c r="A22">
        <v>21</v>
      </c>
      <c r="B22">
        <f t="shared" si="2"/>
        <v>231</v>
      </c>
      <c r="C22">
        <f t="shared" si="3"/>
        <v>1770</v>
      </c>
      <c r="G22" t="s">
        <v>2034</v>
      </c>
      <c r="H22" s="64" t="s">
        <v>1509</v>
      </c>
    </row>
    <row r="23" spans="1:8" x14ac:dyDescent="0.25">
      <c r="A23">
        <v>22</v>
      </c>
      <c r="B23">
        <f t="shared" si="2"/>
        <v>253</v>
      </c>
      <c r="C23">
        <f t="shared" si="3"/>
        <v>2023</v>
      </c>
      <c r="G23" t="s">
        <v>2035</v>
      </c>
      <c r="H23" s="64">
        <f>J4</f>
        <v>1864610</v>
      </c>
    </row>
    <row r="24" spans="1:8" x14ac:dyDescent="0.25">
      <c r="A24">
        <v>23</v>
      </c>
      <c r="B24">
        <f t="shared" si="2"/>
        <v>276</v>
      </c>
      <c r="C24">
        <f t="shared" si="3"/>
        <v>2299</v>
      </c>
      <c r="G24" t="s">
        <v>2036</v>
      </c>
      <c r="H24" t="e">
        <f ca="1">levelfromexp(H23,VLOOKUP(H22,G2:H10,2,0))</f>
        <v>#NAME?</v>
      </c>
    </row>
    <row r="25" spans="1:8" x14ac:dyDescent="0.25">
      <c r="A25">
        <v>24</v>
      </c>
      <c r="B25">
        <f t="shared" si="2"/>
        <v>300</v>
      </c>
      <c r="C25">
        <f t="shared" si="3"/>
        <v>2599</v>
      </c>
    </row>
    <row r="26" spans="1:8" x14ac:dyDescent="0.25">
      <c r="A26">
        <v>25</v>
      </c>
      <c r="B26">
        <f t="shared" si="2"/>
        <v>325</v>
      </c>
      <c r="C26">
        <f t="shared" si="3"/>
        <v>2924</v>
      </c>
    </row>
    <row r="27" spans="1:8" x14ac:dyDescent="0.25">
      <c r="A27">
        <v>26</v>
      </c>
      <c r="B27">
        <f t="shared" si="2"/>
        <v>351</v>
      </c>
      <c r="C27">
        <f t="shared" si="3"/>
        <v>3275</v>
      </c>
    </row>
    <row r="28" spans="1:8" x14ac:dyDescent="0.25">
      <c r="A28">
        <v>27</v>
      </c>
      <c r="B28">
        <f t="shared" si="2"/>
        <v>378</v>
      </c>
      <c r="C28">
        <f t="shared" si="3"/>
        <v>3653</v>
      </c>
    </row>
    <row r="29" spans="1:8" x14ac:dyDescent="0.25">
      <c r="A29">
        <v>28</v>
      </c>
      <c r="B29">
        <f t="shared" si="2"/>
        <v>406</v>
      </c>
      <c r="C29">
        <f t="shared" si="3"/>
        <v>4059</v>
      </c>
    </row>
    <row r="30" spans="1:8" x14ac:dyDescent="0.25">
      <c r="A30">
        <v>29</v>
      </c>
      <c r="B30">
        <f t="shared" si="2"/>
        <v>435</v>
      </c>
      <c r="C30">
        <f t="shared" si="3"/>
        <v>4494</v>
      </c>
    </row>
    <row r="31" spans="1:8" x14ac:dyDescent="0.25">
      <c r="A31">
        <v>30</v>
      </c>
      <c r="B31">
        <f t="shared" si="2"/>
        <v>465</v>
      </c>
      <c r="C31">
        <f t="shared" si="3"/>
        <v>4959</v>
      </c>
    </row>
    <row r="32" spans="1:8" x14ac:dyDescent="0.25">
      <c r="A32">
        <v>31</v>
      </c>
      <c r="B32">
        <f t="shared" si="2"/>
        <v>496</v>
      </c>
      <c r="C32">
        <f t="shared" si="3"/>
        <v>5455</v>
      </c>
    </row>
    <row r="33" spans="1:9" x14ac:dyDescent="0.25">
      <c r="A33">
        <v>32</v>
      </c>
      <c r="B33">
        <f t="shared" si="2"/>
        <v>528</v>
      </c>
      <c r="C33">
        <f t="shared" si="3"/>
        <v>5983</v>
      </c>
    </row>
    <row r="34" spans="1:9" x14ac:dyDescent="0.25">
      <c r="A34">
        <v>33</v>
      </c>
      <c r="B34">
        <f t="shared" si="2"/>
        <v>561</v>
      </c>
      <c r="C34">
        <f t="shared" si="3"/>
        <v>6544</v>
      </c>
    </row>
    <row r="35" spans="1:9" x14ac:dyDescent="0.25">
      <c r="A35">
        <v>34</v>
      </c>
      <c r="B35">
        <f t="shared" ref="B35:B51" si="4">(A35*A35+A35)/2</f>
        <v>595</v>
      </c>
      <c r="C35">
        <f t="shared" si="3"/>
        <v>7139</v>
      </c>
    </row>
    <row r="36" spans="1:9" x14ac:dyDescent="0.25">
      <c r="A36">
        <v>35</v>
      </c>
      <c r="B36">
        <f t="shared" si="4"/>
        <v>630</v>
      </c>
      <c r="C36">
        <f t="shared" si="3"/>
        <v>7769</v>
      </c>
    </row>
    <row r="37" spans="1:9" x14ac:dyDescent="0.25">
      <c r="A37">
        <v>36</v>
      </c>
      <c r="B37">
        <f t="shared" si="4"/>
        <v>666</v>
      </c>
      <c r="C37">
        <f t="shared" si="3"/>
        <v>8435</v>
      </c>
    </row>
    <row r="38" spans="1:9" x14ac:dyDescent="0.25">
      <c r="A38">
        <v>37</v>
      </c>
      <c r="B38">
        <f t="shared" si="4"/>
        <v>703</v>
      </c>
      <c r="C38">
        <f t="shared" si="3"/>
        <v>9138</v>
      </c>
    </row>
    <row r="39" spans="1:9" x14ac:dyDescent="0.25">
      <c r="A39">
        <v>38</v>
      </c>
      <c r="B39">
        <f t="shared" si="4"/>
        <v>741</v>
      </c>
      <c r="C39">
        <f t="shared" si="3"/>
        <v>9879</v>
      </c>
    </row>
    <row r="40" spans="1:9" x14ac:dyDescent="0.25">
      <c r="A40">
        <v>39</v>
      </c>
      <c r="B40">
        <f t="shared" si="4"/>
        <v>780</v>
      </c>
      <c r="C40">
        <f t="shared" si="3"/>
        <v>10659</v>
      </c>
      <c r="I40" s="16"/>
    </row>
    <row r="41" spans="1:9" x14ac:dyDescent="0.25">
      <c r="A41">
        <v>40</v>
      </c>
      <c r="B41">
        <f t="shared" si="4"/>
        <v>820</v>
      </c>
      <c r="C41">
        <f t="shared" si="3"/>
        <v>11479</v>
      </c>
    </row>
    <row r="42" spans="1:9" x14ac:dyDescent="0.25">
      <c r="A42">
        <v>41</v>
      </c>
      <c r="B42">
        <f t="shared" si="4"/>
        <v>861</v>
      </c>
      <c r="C42">
        <f t="shared" si="3"/>
        <v>12340</v>
      </c>
    </row>
    <row r="43" spans="1:9" x14ac:dyDescent="0.25">
      <c r="A43">
        <v>42</v>
      </c>
      <c r="B43">
        <f t="shared" si="4"/>
        <v>903</v>
      </c>
      <c r="C43">
        <f t="shared" si="3"/>
        <v>13243</v>
      </c>
    </row>
    <row r="44" spans="1:9" x14ac:dyDescent="0.25">
      <c r="A44">
        <v>43</v>
      </c>
      <c r="B44">
        <f t="shared" si="4"/>
        <v>946</v>
      </c>
      <c r="C44">
        <f t="shared" si="3"/>
        <v>14189</v>
      </c>
    </row>
    <row r="45" spans="1:9" x14ac:dyDescent="0.25">
      <c r="A45">
        <v>44</v>
      </c>
      <c r="B45">
        <f t="shared" si="4"/>
        <v>990</v>
      </c>
      <c r="C45">
        <f t="shared" si="3"/>
        <v>15179</v>
      </c>
    </row>
    <row r="46" spans="1:9" x14ac:dyDescent="0.25">
      <c r="A46">
        <v>45</v>
      </c>
      <c r="B46">
        <f t="shared" si="4"/>
        <v>1035</v>
      </c>
      <c r="C46">
        <f t="shared" si="3"/>
        <v>16214</v>
      </c>
    </row>
    <row r="47" spans="1:9" x14ac:dyDescent="0.25">
      <c r="A47">
        <v>46</v>
      </c>
      <c r="B47">
        <f t="shared" si="4"/>
        <v>1081</v>
      </c>
      <c r="C47">
        <f t="shared" si="3"/>
        <v>17295</v>
      </c>
    </row>
    <row r="48" spans="1:9" x14ac:dyDescent="0.25">
      <c r="A48">
        <v>47</v>
      </c>
      <c r="B48">
        <f t="shared" si="4"/>
        <v>1128</v>
      </c>
      <c r="C48">
        <f t="shared" si="3"/>
        <v>18423</v>
      </c>
    </row>
    <row r="49" spans="1:3" x14ac:dyDescent="0.25">
      <c r="A49">
        <v>48</v>
      </c>
      <c r="B49">
        <f t="shared" si="4"/>
        <v>1176</v>
      </c>
      <c r="C49">
        <f t="shared" si="3"/>
        <v>19599</v>
      </c>
    </row>
    <row r="50" spans="1:3" x14ac:dyDescent="0.25">
      <c r="A50">
        <v>49</v>
      </c>
      <c r="B50">
        <f t="shared" si="4"/>
        <v>1225</v>
      </c>
      <c r="C50">
        <f t="shared" si="3"/>
        <v>20824</v>
      </c>
    </row>
    <row r="51" spans="1:3" x14ac:dyDescent="0.25">
      <c r="A51">
        <v>50</v>
      </c>
      <c r="B51">
        <f t="shared" si="4"/>
        <v>1275</v>
      </c>
      <c r="C51">
        <f t="shared" si="3"/>
        <v>22099</v>
      </c>
    </row>
  </sheetData>
  <sheetProtection sheet="1" objects="1" scenarios="1"/>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Roman,Regular"&amp;12&amp;KffffffSeite &amp;P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B6"/>
  <sheetViews>
    <sheetView zoomScaleNormal="100" workbookViewId="0">
      <selection activeCell="K32" sqref="K32"/>
    </sheetView>
  </sheetViews>
  <sheetFormatPr baseColWidth="10" defaultColWidth="12" defaultRowHeight="15" x14ac:dyDescent="0.25"/>
  <sheetData>
    <row r="1" spans="1:2" x14ac:dyDescent="0.25">
      <c r="A1" t="s">
        <v>880</v>
      </c>
      <c r="B1" t="s">
        <v>2037</v>
      </c>
    </row>
    <row r="2" spans="1:2" x14ac:dyDescent="0.25">
      <c r="A2" t="s">
        <v>864</v>
      </c>
      <c r="B2" t="s">
        <v>2038</v>
      </c>
    </row>
    <row r="3" spans="1:2" x14ac:dyDescent="0.25">
      <c r="A3" t="s">
        <v>2039</v>
      </c>
      <c r="B3" t="s">
        <v>2040</v>
      </c>
    </row>
    <row r="4" spans="1:2" x14ac:dyDescent="0.25">
      <c r="A4" t="s">
        <v>2041</v>
      </c>
      <c r="B4" t="s">
        <v>2042</v>
      </c>
    </row>
    <row r="5" spans="1:2" x14ac:dyDescent="0.25">
      <c r="A5" t="s">
        <v>2043</v>
      </c>
      <c r="B5" t="s">
        <v>2044</v>
      </c>
    </row>
    <row r="6" spans="1:2" x14ac:dyDescent="0.25">
      <c r="A6" t="s">
        <v>2045</v>
      </c>
      <c r="B6" t="s">
        <v>2046</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Roman,Regular"&amp;12&amp;KffffffSeite &amp;P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B6"/>
  <sheetViews>
    <sheetView zoomScaleNormal="100" workbookViewId="0">
      <selection activeCell="A7" sqref="A7"/>
    </sheetView>
  </sheetViews>
  <sheetFormatPr baseColWidth="10" defaultColWidth="12" defaultRowHeight="15" x14ac:dyDescent="0.25"/>
  <sheetData>
    <row r="1" spans="1:2" x14ac:dyDescent="0.25">
      <c r="A1">
        <v>103</v>
      </c>
      <c r="B1" t="s">
        <v>2047</v>
      </c>
    </row>
    <row r="2" spans="1:2" x14ac:dyDescent="0.25">
      <c r="A2">
        <v>104</v>
      </c>
      <c r="B2" t="s">
        <v>2048</v>
      </c>
    </row>
    <row r="3" spans="1:2" x14ac:dyDescent="0.25">
      <c r="A3">
        <v>105</v>
      </c>
      <c r="B3" t="s">
        <v>1162</v>
      </c>
    </row>
    <row r="4" spans="1:2" x14ac:dyDescent="0.25">
      <c r="A4">
        <v>106</v>
      </c>
      <c r="B4" t="s">
        <v>2049</v>
      </c>
    </row>
    <row r="5" spans="1:2" x14ac:dyDescent="0.25">
      <c r="A5">
        <v>107</v>
      </c>
      <c r="B5" t="s">
        <v>1168</v>
      </c>
    </row>
    <row r="6" spans="1:2" x14ac:dyDescent="0.25">
      <c r="A6">
        <v>108</v>
      </c>
      <c r="B6" t="s">
        <v>2050</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Roman,Regular"&amp;12&amp;KffffffSeite &amp;P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B7"/>
  <sheetViews>
    <sheetView zoomScaleNormal="100" workbookViewId="0">
      <selection activeCell="B8" sqref="B8"/>
    </sheetView>
  </sheetViews>
  <sheetFormatPr baseColWidth="10" defaultColWidth="11.5703125" defaultRowHeight="15" x14ac:dyDescent="0.25"/>
  <cols>
    <col min="2" max="2" width="17" customWidth="1"/>
  </cols>
  <sheetData>
    <row r="1" spans="1:2" x14ac:dyDescent="0.25">
      <c r="A1" t="s">
        <v>834</v>
      </c>
      <c r="B1" t="s">
        <v>2051</v>
      </c>
    </row>
    <row r="2" spans="1:2" x14ac:dyDescent="0.25">
      <c r="A2">
        <v>26</v>
      </c>
      <c r="B2" t="s">
        <v>2052</v>
      </c>
    </row>
    <row r="3" spans="1:2" x14ac:dyDescent="0.25">
      <c r="A3">
        <v>27</v>
      </c>
      <c r="B3" t="s">
        <v>918</v>
      </c>
    </row>
    <row r="4" spans="1:2" x14ac:dyDescent="0.25">
      <c r="A4">
        <v>28</v>
      </c>
      <c r="B4" t="s">
        <v>2053</v>
      </c>
    </row>
    <row r="5" spans="1:2" x14ac:dyDescent="0.25">
      <c r="A5">
        <v>29</v>
      </c>
      <c r="B5" t="s">
        <v>2054</v>
      </c>
    </row>
    <row r="6" spans="1:2" x14ac:dyDescent="0.25">
      <c r="A6">
        <v>30</v>
      </c>
      <c r="B6" t="s">
        <v>2055</v>
      </c>
    </row>
    <row r="7" spans="1:2" x14ac:dyDescent="0.25">
      <c r="A7">
        <v>31</v>
      </c>
      <c r="B7" t="s">
        <v>2056</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Roman,Regular"&amp;12&amp;KffffffPage &amp;P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C55"/>
  <sheetViews>
    <sheetView zoomScaleNormal="100" workbookViewId="0">
      <selection activeCell="C41" sqref="C41"/>
    </sheetView>
  </sheetViews>
  <sheetFormatPr baseColWidth="10" defaultColWidth="12" defaultRowHeight="15" x14ac:dyDescent="0.25"/>
  <cols>
    <col min="3" max="3" width="49.85546875" customWidth="1"/>
  </cols>
  <sheetData>
    <row r="1" spans="1:3" x14ac:dyDescent="0.25">
      <c r="A1" t="s">
        <v>2057</v>
      </c>
    </row>
    <row r="2" spans="1:3" x14ac:dyDescent="0.25">
      <c r="A2">
        <v>54</v>
      </c>
      <c r="B2">
        <v>4</v>
      </c>
      <c r="C2" t="s">
        <v>2058</v>
      </c>
    </row>
    <row r="3" spans="1:3" x14ac:dyDescent="0.25">
      <c r="A3">
        <v>58</v>
      </c>
      <c r="B3">
        <v>20</v>
      </c>
      <c r="C3" t="s">
        <v>2059</v>
      </c>
    </row>
    <row r="8" spans="1:3" x14ac:dyDescent="0.25">
      <c r="A8" t="s">
        <v>2060</v>
      </c>
    </row>
    <row r="13" spans="1:3" x14ac:dyDescent="0.25">
      <c r="A13" t="s">
        <v>2061</v>
      </c>
    </row>
    <row r="14" spans="1:3" x14ac:dyDescent="0.25">
      <c r="A14" t="s">
        <v>2057</v>
      </c>
      <c r="B14" t="s">
        <v>2062</v>
      </c>
      <c r="C14" t="s">
        <v>2063</v>
      </c>
    </row>
    <row r="15" spans="1:3" x14ac:dyDescent="0.25">
      <c r="A15">
        <v>21</v>
      </c>
      <c r="B15">
        <v>5</v>
      </c>
    </row>
    <row r="16" spans="1:3" x14ac:dyDescent="0.25">
      <c r="A16">
        <v>21</v>
      </c>
      <c r="B16">
        <v>6</v>
      </c>
    </row>
    <row r="17" spans="1:3" x14ac:dyDescent="0.25">
      <c r="A17">
        <v>26</v>
      </c>
      <c r="B17">
        <v>1</v>
      </c>
      <c r="C17" t="s">
        <v>2064</v>
      </c>
    </row>
    <row r="18" spans="1:3" x14ac:dyDescent="0.25">
      <c r="A18">
        <v>26</v>
      </c>
      <c r="B18">
        <v>3</v>
      </c>
    </row>
    <row r="19" spans="1:3" x14ac:dyDescent="0.25">
      <c r="A19">
        <v>26</v>
      </c>
      <c r="B19">
        <v>4</v>
      </c>
      <c r="C19" t="s">
        <v>2065</v>
      </c>
    </row>
    <row r="20" spans="1:3" x14ac:dyDescent="0.25">
      <c r="A20">
        <v>40</v>
      </c>
      <c r="B20" t="s">
        <v>2066</v>
      </c>
      <c r="C20" t="s">
        <v>2067</v>
      </c>
    </row>
    <row r="21" spans="1:3" x14ac:dyDescent="0.25">
      <c r="A21">
        <v>37</v>
      </c>
      <c r="B21" t="s">
        <v>2066</v>
      </c>
      <c r="C21" t="s">
        <v>2067</v>
      </c>
    </row>
    <row r="22" spans="1:3" x14ac:dyDescent="0.25">
      <c r="A22">
        <v>45</v>
      </c>
      <c r="B22" t="s">
        <v>2066</v>
      </c>
      <c r="C22" t="s">
        <v>2067</v>
      </c>
    </row>
    <row r="23" spans="1:3" x14ac:dyDescent="0.25">
      <c r="A23">
        <v>10</v>
      </c>
      <c r="B23">
        <v>8</v>
      </c>
      <c r="C23" t="s">
        <v>2068</v>
      </c>
    </row>
    <row r="25" spans="1:3" x14ac:dyDescent="0.25">
      <c r="A25" t="s">
        <v>1126</v>
      </c>
    </row>
    <row r="26" spans="1:3" x14ac:dyDescent="0.25">
      <c r="A26">
        <v>470</v>
      </c>
      <c r="B26" t="s">
        <v>2069</v>
      </c>
    </row>
    <row r="27" spans="1:3" x14ac:dyDescent="0.25">
      <c r="A27">
        <v>263</v>
      </c>
      <c r="B27">
        <v>33.340000000000003</v>
      </c>
      <c r="C27" t="s">
        <v>2070</v>
      </c>
    </row>
    <row r="28" spans="1:3" x14ac:dyDescent="0.25">
      <c r="A28">
        <v>460</v>
      </c>
      <c r="B28">
        <v>4</v>
      </c>
    </row>
    <row r="29" spans="1:3" x14ac:dyDescent="0.25">
      <c r="A29">
        <v>456</v>
      </c>
      <c r="B29">
        <v>0</v>
      </c>
    </row>
    <row r="30" spans="1:3" x14ac:dyDescent="0.25">
      <c r="A30">
        <v>457</v>
      </c>
      <c r="B30" t="s">
        <v>2071</v>
      </c>
    </row>
    <row r="31" spans="1:3" x14ac:dyDescent="0.25">
      <c r="A31">
        <v>472</v>
      </c>
      <c r="B31" t="s">
        <v>2072</v>
      </c>
    </row>
    <row r="32" spans="1:3" x14ac:dyDescent="0.25">
      <c r="A32">
        <v>473</v>
      </c>
      <c r="B32">
        <v>26</v>
      </c>
    </row>
    <row r="33" spans="1:3" x14ac:dyDescent="0.25">
      <c r="A33">
        <v>57</v>
      </c>
      <c r="B33">
        <v>2</v>
      </c>
    </row>
    <row r="34" spans="1:3" x14ac:dyDescent="0.25">
      <c r="A34">
        <v>474</v>
      </c>
      <c r="B34">
        <v>0</v>
      </c>
    </row>
    <row r="35" spans="1:3" x14ac:dyDescent="0.25">
      <c r="A35">
        <v>459</v>
      </c>
      <c r="B35">
        <v>1</v>
      </c>
    </row>
    <row r="36" spans="1:3" x14ac:dyDescent="0.25">
      <c r="A36">
        <v>233</v>
      </c>
      <c r="B36">
        <v>2</v>
      </c>
    </row>
    <row r="37" spans="1:3" x14ac:dyDescent="0.25">
      <c r="A37">
        <v>218</v>
      </c>
      <c r="B37">
        <v>0</v>
      </c>
      <c r="C37" t="s">
        <v>2073</v>
      </c>
    </row>
    <row r="38" spans="1:3" x14ac:dyDescent="0.25">
      <c r="A38">
        <v>435</v>
      </c>
      <c r="B38">
        <v>8</v>
      </c>
    </row>
    <row r="39" spans="1:3" x14ac:dyDescent="0.25">
      <c r="A39">
        <v>374</v>
      </c>
      <c r="C39" t="s">
        <v>2074</v>
      </c>
    </row>
    <row r="45" spans="1:3" x14ac:dyDescent="0.25">
      <c r="A45" t="s">
        <v>2075</v>
      </c>
    </row>
    <row r="46" spans="1:3" x14ac:dyDescent="0.25">
      <c r="A46">
        <v>4</v>
      </c>
      <c r="B46">
        <v>8</v>
      </c>
    </row>
    <row r="48" spans="1:3" x14ac:dyDescent="0.25">
      <c r="A48" t="s">
        <v>2076</v>
      </c>
      <c r="B48" t="s">
        <v>1136</v>
      </c>
    </row>
    <row r="49" spans="1:2" x14ac:dyDescent="0.25">
      <c r="A49" t="s">
        <v>12</v>
      </c>
    </row>
    <row r="52" spans="1:2" x14ac:dyDescent="0.25">
      <c r="A52" t="s">
        <v>2077</v>
      </c>
    </row>
    <row r="53" spans="1:2" x14ac:dyDescent="0.25">
      <c r="A53">
        <v>15</v>
      </c>
      <c r="B53">
        <v>5</v>
      </c>
    </row>
    <row r="54" spans="1:2" x14ac:dyDescent="0.25">
      <c r="A54">
        <v>15</v>
      </c>
      <c r="B54">
        <v>6</v>
      </c>
    </row>
    <row r="55" spans="1:2" x14ac:dyDescent="0.25">
      <c r="A55">
        <v>15</v>
      </c>
      <c r="B55">
        <v>7</v>
      </c>
    </row>
  </sheetData>
  <hyperlinks>
    <hyperlink ref="C3" r:id="rId1" xr:uid="{00000000-0004-0000-2400-000000000000}"/>
  </hyperlinks>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Roman,Regular"&amp;12&amp;KffffffSeite &amp;P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I84"/>
  <sheetViews>
    <sheetView topLeftCell="A43" zoomScaleNormal="100" workbookViewId="0">
      <selection activeCell="F39" sqref="F39"/>
    </sheetView>
  </sheetViews>
  <sheetFormatPr baseColWidth="10" defaultColWidth="12" defaultRowHeight="15" x14ac:dyDescent="0.25"/>
  <cols>
    <col min="5" max="5" width="14.28515625" customWidth="1"/>
  </cols>
  <sheetData>
    <row r="1" spans="1:8" x14ac:dyDescent="0.25">
      <c r="A1" s="81" t="s">
        <v>2078</v>
      </c>
      <c r="B1" s="81"/>
      <c r="C1" s="81"/>
      <c r="E1" s="72" t="s">
        <v>2079</v>
      </c>
      <c r="F1" s="72"/>
      <c r="G1" s="72"/>
      <c r="H1" s="72"/>
    </row>
    <row r="2" spans="1:8" x14ac:dyDescent="0.25">
      <c r="A2" s="2" t="s">
        <v>2080</v>
      </c>
      <c r="B2" s="2" t="s">
        <v>2081</v>
      </c>
      <c r="C2" s="2" t="s">
        <v>2082</v>
      </c>
      <c r="E2" s="65" t="s">
        <v>482</v>
      </c>
      <c r="F2" s="65" t="s">
        <v>2083</v>
      </c>
      <c r="G2" s="65" t="s">
        <v>2084</v>
      </c>
      <c r="H2" s="65" t="s">
        <v>2085</v>
      </c>
    </row>
    <row r="3" spans="1:8" x14ac:dyDescent="0.25">
      <c r="A3" t="s">
        <v>2024</v>
      </c>
      <c r="B3">
        <v>1</v>
      </c>
      <c r="C3">
        <v>1</v>
      </c>
      <c r="E3" s="58" t="s">
        <v>2086</v>
      </c>
      <c r="F3" s="58">
        <v>5</v>
      </c>
      <c r="G3" s="58">
        <v>5</v>
      </c>
      <c r="H3" s="58">
        <v>10</v>
      </c>
    </row>
    <row r="4" spans="1:8" x14ac:dyDescent="0.25">
      <c r="A4" t="s">
        <v>2085</v>
      </c>
      <c r="B4">
        <v>6</v>
      </c>
      <c r="C4">
        <v>6</v>
      </c>
      <c r="E4" s="58"/>
      <c r="F4" s="58"/>
      <c r="G4" s="58"/>
      <c r="H4" s="58"/>
    </row>
    <row r="5" spans="1:8" x14ac:dyDescent="0.25">
      <c r="A5" t="s">
        <v>2087</v>
      </c>
      <c r="B5">
        <v>5</v>
      </c>
      <c r="C5">
        <v>5</v>
      </c>
      <c r="E5" s="58"/>
      <c r="F5" s="58"/>
      <c r="G5" s="58"/>
      <c r="H5" s="58"/>
    </row>
    <row r="6" spans="1:8" x14ac:dyDescent="0.25">
      <c r="A6" t="s">
        <v>2088</v>
      </c>
      <c r="B6">
        <v>3</v>
      </c>
      <c r="C6">
        <v>3</v>
      </c>
      <c r="E6" s="58"/>
      <c r="F6" s="58"/>
      <c r="G6" s="58"/>
      <c r="H6" s="58"/>
    </row>
    <row r="7" spans="1:8" x14ac:dyDescent="0.25">
      <c r="A7" t="s">
        <v>2083</v>
      </c>
      <c r="B7">
        <v>2</v>
      </c>
      <c r="C7">
        <v>2</v>
      </c>
      <c r="E7" s="58"/>
      <c r="F7" s="58"/>
      <c r="G7" s="58"/>
      <c r="H7" s="58"/>
    </row>
    <row r="8" spans="1:8" x14ac:dyDescent="0.25">
      <c r="A8" t="s">
        <v>2084</v>
      </c>
      <c r="B8">
        <v>0</v>
      </c>
      <c r="C8">
        <v>0</v>
      </c>
      <c r="E8" s="66" t="s">
        <v>2089</v>
      </c>
      <c r="F8" s="66">
        <f>SUM(F3:F7)</f>
        <v>5</v>
      </c>
      <c r="G8" s="66">
        <f>SUM(G3:G7)</f>
        <v>5</v>
      </c>
      <c r="H8" s="66">
        <f>SUM(H3:H7)</f>
        <v>10</v>
      </c>
    </row>
    <row r="9" spans="1:8" x14ac:dyDescent="0.25">
      <c r="A9" t="s">
        <v>2090</v>
      </c>
      <c r="B9">
        <v>5</v>
      </c>
      <c r="C9">
        <v>10</v>
      </c>
    </row>
    <row r="10" spans="1:8" x14ac:dyDescent="0.25">
      <c r="A10" t="s">
        <v>1813</v>
      </c>
      <c r="B10">
        <v>5</v>
      </c>
      <c r="C10">
        <v>15</v>
      </c>
    </row>
    <row r="11" spans="1:8" x14ac:dyDescent="0.25">
      <c r="A11" t="s">
        <v>2091</v>
      </c>
      <c r="B11">
        <v>20</v>
      </c>
      <c r="C11">
        <v>25</v>
      </c>
      <c r="E11" s="66" t="s">
        <v>2092</v>
      </c>
      <c r="F11" s="66">
        <v>10</v>
      </c>
    </row>
    <row r="12" spans="1:8" x14ac:dyDescent="0.25">
      <c r="A12" t="s">
        <v>2093</v>
      </c>
      <c r="B12">
        <v>135</v>
      </c>
      <c r="C12">
        <v>150</v>
      </c>
      <c r="E12" s="66" t="s">
        <v>2094</v>
      </c>
      <c r="F12" s="66">
        <v>7</v>
      </c>
    </row>
    <row r="13" spans="1:8" x14ac:dyDescent="0.25">
      <c r="A13" t="s">
        <v>2095</v>
      </c>
      <c r="B13">
        <v>2</v>
      </c>
      <c r="C13">
        <v>10</v>
      </c>
    </row>
    <row r="14" spans="1:8" x14ac:dyDescent="0.25">
      <c r="A14" t="s">
        <v>2096</v>
      </c>
      <c r="B14">
        <v>5</v>
      </c>
      <c r="C14">
        <v>50</v>
      </c>
    </row>
    <row r="15" spans="1:8" x14ac:dyDescent="0.25">
      <c r="A15" t="s">
        <v>2097</v>
      </c>
      <c r="B15">
        <v>15</v>
      </c>
      <c r="C15">
        <v>95</v>
      </c>
    </row>
    <row r="16" spans="1:8" x14ac:dyDescent="0.25">
      <c r="A16" t="s">
        <v>2098</v>
      </c>
      <c r="B16">
        <v>0</v>
      </c>
      <c r="C16">
        <v>0</v>
      </c>
    </row>
    <row r="17" spans="1:9" x14ac:dyDescent="0.25">
      <c r="A17" t="s">
        <v>2099</v>
      </c>
      <c r="B17">
        <v>30</v>
      </c>
      <c r="C17">
        <v>85</v>
      </c>
      <c r="E17" s="72" t="s">
        <v>2100</v>
      </c>
      <c r="F17" s="72"/>
      <c r="G17" s="72"/>
      <c r="H17" s="72"/>
    </row>
    <row r="18" spans="1:9" x14ac:dyDescent="0.25">
      <c r="A18" t="s">
        <v>2101</v>
      </c>
      <c r="B18">
        <v>0</v>
      </c>
      <c r="C18">
        <v>25</v>
      </c>
      <c r="E18" s="65" t="s">
        <v>2080</v>
      </c>
      <c r="F18" s="65" t="s">
        <v>2081</v>
      </c>
      <c r="G18" s="65" t="s">
        <v>2082</v>
      </c>
      <c r="H18" s="65" t="s">
        <v>2102</v>
      </c>
    </row>
    <row r="19" spans="1:9" x14ac:dyDescent="0.25">
      <c r="A19" t="s">
        <v>2103</v>
      </c>
      <c r="B19">
        <v>0</v>
      </c>
      <c r="C19">
        <v>99</v>
      </c>
      <c r="E19" s="58" t="s">
        <v>2024</v>
      </c>
      <c r="F19" s="58">
        <f>C3+C26+C34+C41+C48+C55+C63+C70+C77</f>
        <v>33</v>
      </c>
      <c r="G19" s="66">
        <f>F19</f>
        <v>33</v>
      </c>
      <c r="H19" s="58">
        <f t="shared" ref="H19:H39" si="0">ROUNDDOWN(AVERAGE(F19:G19),0)</f>
        <v>33</v>
      </c>
    </row>
    <row r="20" spans="1:9" x14ac:dyDescent="0.25">
      <c r="A20" t="s">
        <v>2104</v>
      </c>
      <c r="B20">
        <v>0</v>
      </c>
      <c r="C20">
        <v>0</v>
      </c>
      <c r="E20" s="58" t="s">
        <v>2085</v>
      </c>
      <c r="F20" s="58">
        <f>B4+B29+B66+B71+(F19-B3)*(F11/2)</f>
        <v>209</v>
      </c>
      <c r="G20" s="66">
        <f>C4+C29+C66+C71+(G19-C3)*F11+H8</f>
        <v>391</v>
      </c>
      <c r="H20" s="58">
        <f t="shared" si="0"/>
        <v>300</v>
      </c>
      <c r="I20" t="s">
        <v>2105</v>
      </c>
    </row>
    <row r="21" spans="1:9" x14ac:dyDescent="0.25">
      <c r="A21" t="s">
        <v>2106</v>
      </c>
      <c r="B21">
        <v>20</v>
      </c>
      <c r="C21">
        <v>60</v>
      </c>
      <c r="E21" s="58" t="s">
        <v>2087</v>
      </c>
      <c r="F21" s="58">
        <f>B5+B30+B81+(F19-B3)*(F12/2)</f>
        <v>147</v>
      </c>
      <c r="G21" s="66">
        <f>B5+B30+B81+(F19-B3)*F12</f>
        <v>259</v>
      </c>
      <c r="H21" s="58">
        <f t="shared" si="0"/>
        <v>203</v>
      </c>
    </row>
    <row r="22" spans="1:9" x14ac:dyDescent="0.25">
      <c r="A22" t="s">
        <v>2107</v>
      </c>
      <c r="B22">
        <v>0</v>
      </c>
      <c r="C22">
        <v>0</v>
      </c>
      <c r="E22" s="58" t="s">
        <v>2088</v>
      </c>
      <c r="F22" s="58">
        <f>B6+B37+B50</f>
        <v>5</v>
      </c>
      <c r="G22" s="66">
        <f>F22</f>
        <v>5</v>
      </c>
      <c r="H22" s="58">
        <f t="shared" si="0"/>
        <v>5</v>
      </c>
    </row>
    <row r="23" spans="1:9" x14ac:dyDescent="0.25">
      <c r="A23" t="s">
        <v>2108</v>
      </c>
      <c r="B23">
        <v>0</v>
      </c>
      <c r="C23">
        <v>0</v>
      </c>
      <c r="E23" s="58" t="s">
        <v>2083</v>
      </c>
      <c r="F23" s="58">
        <f>B7+B36+B56+B65+ROUNDDOWN(F25/25,0)</f>
        <v>20</v>
      </c>
      <c r="G23" s="66">
        <f>C7+C36+C56+C65+F8+ROUNDDOWN(G25/25,0)</f>
        <v>31</v>
      </c>
      <c r="H23" s="58">
        <f t="shared" si="0"/>
        <v>25</v>
      </c>
      <c r="I23" t="s">
        <v>2105</v>
      </c>
    </row>
    <row r="24" spans="1:9" x14ac:dyDescent="0.25">
      <c r="E24" s="58" t="s">
        <v>2084</v>
      </c>
      <c r="F24" s="58">
        <f>B8+B42+B57+ROUNDDOWN(F29/25,0)</f>
        <v>17</v>
      </c>
      <c r="G24" s="66">
        <f>C8+C42+C57+G8+ROUNDDOWN(G29/25,0)</f>
        <v>27</v>
      </c>
      <c r="H24" s="58">
        <f t="shared" si="0"/>
        <v>22</v>
      </c>
      <c r="I24" t="s">
        <v>2105</v>
      </c>
    </row>
    <row r="25" spans="1:9" x14ac:dyDescent="0.25">
      <c r="A25" s="2" t="s">
        <v>2039</v>
      </c>
      <c r="B25" s="2" t="s">
        <v>2081</v>
      </c>
      <c r="C25" s="2" t="s">
        <v>2082</v>
      </c>
      <c r="E25" s="58" t="s">
        <v>2090</v>
      </c>
      <c r="F25" s="58">
        <f>B9+B44+B64</f>
        <v>25</v>
      </c>
      <c r="G25" s="66">
        <f>C9+C44+C64</f>
        <v>30</v>
      </c>
      <c r="H25" s="58">
        <f t="shared" si="0"/>
        <v>27</v>
      </c>
    </row>
    <row r="26" spans="1:9" x14ac:dyDescent="0.25">
      <c r="A26" t="s">
        <v>2024</v>
      </c>
      <c r="B26">
        <v>4</v>
      </c>
      <c r="C26">
        <v>4</v>
      </c>
      <c r="E26" s="58" t="s">
        <v>1813</v>
      </c>
      <c r="F26" s="58">
        <f>B10+B78</f>
        <v>15</v>
      </c>
      <c r="G26" s="66">
        <f>C10+C78</f>
        <v>25</v>
      </c>
      <c r="H26" s="58">
        <f t="shared" si="0"/>
        <v>20</v>
      </c>
    </row>
    <row r="27" spans="1:9" x14ac:dyDescent="0.25">
      <c r="A27" t="s">
        <v>2095</v>
      </c>
      <c r="B27">
        <v>10</v>
      </c>
      <c r="C27">
        <v>10</v>
      </c>
      <c r="E27" s="58" t="s">
        <v>2091</v>
      </c>
      <c r="F27" s="58">
        <f>B11+B79</f>
        <v>30</v>
      </c>
      <c r="G27" s="66">
        <f>C11+C79</f>
        <v>35</v>
      </c>
      <c r="H27" s="58">
        <f t="shared" si="0"/>
        <v>32</v>
      </c>
    </row>
    <row r="28" spans="1:9" x14ac:dyDescent="0.25">
      <c r="A28" t="s">
        <v>2103</v>
      </c>
      <c r="B28">
        <v>20</v>
      </c>
      <c r="C28">
        <v>20</v>
      </c>
      <c r="E28" s="58" t="s">
        <v>2093</v>
      </c>
      <c r="F28" s="58">
        <f>B12+B49</f>
        <v>145</v>
      </c>
      <c r="G28" s="66">
        <f>C12+C49</f>
        <v>160</v>
      </c>
      <c r="H28" s="58">
        <f t="shared" si="0"/>
        <v>152</v>
      </c>
    </row>
    <row r="29" spans="1:9" x14ac:dyDescent="0.25">
      <c r="A29" t="s">
        <v>2085</v>
      </c>
      <c r="B29">
        <v>18</v>
      </c>
      <c r="C29">
        <v>22</v>
      </c>
      <c r="E29" s="58" t="s">
        <v>2095</v>
      </c>
      <c r="F29" s="58">
        <f>B13+B27+B58</f>
        <v>22</v>
      </c>
      <c r="G29" s="66">
        <f>C13+C27+C58</f>
        <v>30</v>
      </c>
      <c r="H29" s="58">
        <f t="shared" si="0"/>
        <v>26</v>
      </c>
    </row>
    <row r="30" spans="1:9" x14ac:dyDescent="0.25">
      <c r="A30" t="s">
        <v>2087</v>
      </c>
      <c r="B30">
        <v>5</v>
      </c>
      <c r="C30">
        <v>5</v>
      </c>
      <c r="E30" s="58" t="s">
        <v>2096</v>
      </c>
      <c r="F30" s="58">
        <f>B14+B59+B80</f>
        <v>25</v>
      </c>
      <c r="G30" s="66">
        <f>C14+C59+C80</f>
        <v>70</v>
      </c>
      <c r="H30" s="58">
        <f t="shared" si="0"/>
        <v>47</v>
      </c>
    </row>
    <row r="31" spans="1:9" x14ac:dyDescent="0.25">
      <c r="E31" s="58" t="s">
        <v>2097</v>
      </c>
      <c r="F31" s="58">
        <f>B15</f>
        <v>15</v>
      </c>
      <c r="G31" s="66">
        <f>C15</f>
        <v>95</v>
      </c>
      <c r="H31" s="58">
        <f t="shared" si="0"/>
        <v>55</v>
      </c>
    </row>
    <row r="32" spans="1:9" x14ac:dyDescent="0.25">
      <c r="E32" s="58" t="s">
        <v>2098</v>
      </c>
      <c r="F32" s="58">
        <f>B16+B35+B43+B51</f>
        <v>15</v>
      </c>
      <c r="G32" s="66">
        <f>C16+C35+C43+C51</f>
        <v>15</v>
      </c>
      <c r="H32" s="58">
        <f t="shared" si="0"/>
        <v>15</v>
      </c>
    </row>
    <row r="33" spans="1:8" x14ac:dyDescent="0.25">
      <c r="A33" s="2" t="s">
        <v>864</v>
      </c>
      <c r="B33" s="2" t="s">
        <v>2081</v>
      </c>
      <c r="C33" s="2" t="s">
        <v>2082</v>
      </c>
      <c r="E33" s="58" t="s">
        <v>2099</v>
      </c>
      <c r="F33" s="58">
        <v>30</v>
      </c>
      <c r="G33" s="66">
        <v>85</v>
      </c>
      <c r="H33" s="58">
        <f t="shared" si="0"/>
        <v>57</v>
      </c>
    </row>
    <row r="34" spans="1:8" x14ac:dyDescent="0.25">
      <c r="A34" t="s">
        <v>2024</v>
      </c>
      <c r="B34">
        <v>4</v>
      </c>
      <c r="C34">
        <v>4</v>
      </c>
      <c r="E34" s="58" t="s">
        <v>2101</v>
      </c>
      <c r="F34" s="58">
        <v>0</v>
      </c>
      <c r="G34" s="66">
        <v>25</v>
      </c>
      <c r="H34" s="58">
        <f t="shared" si="0"/>
        <v>12</v>
      </c>
    </row>
    <row r="35" spans="1:8" x14ac:dyDescent="0.25">
      <c r="A35" t="s">
        <v>2098</v>
      </c>
      <c r="B35">
        <v>5</v>
      </c>
      <c r="C35">
        <v>5</v>
      </c>
      <c r="E35" s="58" t="s">
        <v>2103</v>
      </c>
      <c r="F35" s="58">
        <f>B19+B28</f>
        <v>20</v>
      </c>
      <c r="G35" s="66">
        <v>99</v>
      </c>
      <c r="H35" s="58">
        <f t="shared" si="0"/>
        <v>59</v>
      </c>
    </row>
    <row r="36" spans="1:8" x14ac:dyDescent="0.25">
      <c r="A36" t="s">
        <v>2083</v>
      </c>
      <c r="B36">
        <v>4</v>
      </c>
      <c r="C36">
        <v>6</v>
      </c>
      <c r="E36" s="58" t="s">
        <v>2104</v>
      </c>
      <c r="F36" s="58">
        <v>0</v>
      </c>
      <c r="G36" s="66">
        <f>C20+C82</f>
        <v>5</v>
      </c>
      <c r="H36" s="58">
        <f t="shared" si="0"/>
        <v>2</v>
      </c>
    </row>
    <row r="37" spans="1:8" x14ac:dyDescent="0.25">
      <c r="A37" t="s">
        <v>2088</v>
      </c>
      <c r="B37">
        <v>1</v>
      </c>
      <c r="C37">
        <v>1</v>
      </c>
      <c r="E37" s="58" t="s">
        <v>2106</v>
      </c>
      <c r="F37" s="58">
        <v>20</v>
      </c>
      <c r="G37" s="66">
        <v>60</v>
      </c>
      <c r="H37" s="58">
        <f t="shared" si="0"/>
        <v>40</v>
      </c>
    </row>
    <row r="38" spans="1:8" x14ac:dyDescent="0.25">
      <c r="E38" s="58" t="s">
        <v>2107</v>
      </c>
      <c r="F38" s="58">
        <f>B22+B45+B60+B84</f>
        <v>3</v>
      </c>
      <c r="G38" s="66">
        <f>F38</f>
        <v>3</v>
      </c>
      <c r="H38" s="58">
        <f t="shared" si="0"/>
        <v>3</v>
      </c>
    </row>
    <row r="39" spans="1:8" x14ac:dyDescent="0.25">
      <c r="E39" s="58" t="s">
        <v>2108</v>
      </c>
      <c r="F39" s="58">
        <f>B23+B67+B72+B83</f>
        <v>3</v>
      </c>
      <c r="G39" s="66">
        <f>F39</f>
        <v>3</v>
      </c>
      <c r="H39" s="58">
        <f t="shared" si="0"/>
        <v>3</v>
      </c>
    </row>
    <row r="40" spans="1:8" x14ac:dyDescent="0.25">
      <c r="A40" s="2" t="s">
        <v>880</v>
      </c>
      <c r="B40" s="2" t="s">
        <v>2081</v>
      </c>
      <c r="C40" s="2" t="s">
        <v>2082</v>
      </c>
    </row>
    <row r="41" spans="1:8" x14ac:dyDescent="0.25">
      <c r="A41" t="s">
        <v>2024</v>
      </c>
      <c r="B41">
        <v>4</v>
      </c>
      <c r="C41">
        <v>4</v>
      </c>
    </row>
    <row r="42" spans="1:8" x14ac:dyDescent="0.25">
      <c r="A42" t="s">
        <v>2084</v>
      </c>
      <c r="B42">
        <v>13</v>
      </c>
      <c r="C42">
        <v>15</v>
      </c>
    </row>
    <row r="43" spans="1:8" x14ac:dyDescent="0.25">
      <c r="A43" t="s">
        <v>2098</v>
      </c>
      <c r="B43">
        <v>5</v>
      </c>
      <c r="C43">
        <v>5</v>
      </c>
    </row>
    <row r="44" spans="1:8" x14ac:dyDescent="0.25">
      <c r="A44" t="s">
        <v>2090</v>
      </c>
      <c r="B44">
        <v>10</v>
      </c>
      <c r="C44">
        <v>10</v>
      </c>
    </row>
    <row r="45" spans="1:8" x14ac:dyDescent="0.25">
      <c r="A45" t="s">
        <v>2107</v>
      </c>
      <c r="B45">
        <v>1</v>
      </c>
      <c r="C45">
        <v>1</v>
      </c>
    </row>
    <row r="47" spans="1:8" x14ac:dyDescent="0.25">
      <c r="A47" s="2" t="s">
        <v>2041</v>
      </c>
      <c r="B47" s="2" t="s">
        <v>2081</v>
      </c>
      <c r="C47" s="2" t="s">
        <v>2082</v>
      </c>
    </row>
    <row r="48" spans="1:8" x14ac:dyDescent="0.25">
      <c r="A48" t="s">
        <v>2024</v>
      </c>
      <c r="B48">
        <v>4</v>
      </c>
      <c r="C48">
        <v>4</v>
      </c>
    </row>
    <row r="49" spans="1:3" x14ac:dyDescent="0.25">
      <c r="A49" t="s">
        <v>2093</v>
      </c>
      <c r="B49">
        <v>10</v>
      </c>
      <c r="C49">
        <v>10</v>
      </c>
    </row>
    <row r="50" spans="1:3" x14ac:dyDescent="0.25">
      <c r="A50" t="s">
        <v>2088</v>
      </c>
      <c r="B50">
        <v>1</v>
      </c>
      <c r="C50">
        <v>1</v>
      </c>
    </row>
    <row r="51" spans="1:3" x14ac:dyDescent="0.25">
      <c r="A51" t="s">
        <v>2098</v>
      </c>
      <c r="B51">
        <v>5</v>
      </c>
      <c r="C51">
        <v>5</v>
      </c>
    </row>
    <row r="54" spans="1:3" x14ac:dyDescent="0.25">
      <c r="A54" s="2" t="s">
        <v>2043</v>
      </c>
      <c r="B54" s="2" t="s">
        <v>2081</v>
      </c>
      <c r="C54" s="2" t="s">
        <v>2082</v>
      </c>
    </row>
    <row r="55" spans="1:3" x14ac:dyDescent="0.25">
      <c r="A55" t="s">
        <v>2024</v>
      </c>
      <c r="B55">
        <v>4</v>
      </c>
      <c r="C55">
        <v>4</v>
      </c>
    </row>
    <row r="56" spans="1:3" x14ac:dyDescent="0.25">
      <c r="A56" t="s">
        <v>2083</v>
      </c>
      <c r="B56">
        <v>4</v>
      </c>
      <c r="C56">
        <v>6</v>
      </c>
    </row>
    <row r="57" spans="1:3" x14ac:dyDescent="0.25">
      <c r="A57" t="s">
        <v>2084</v>
      </c>
      <c r="B57">
        <v>4</v>
      </c>
      <c r="C57">
        <v>6</v>
      </c>
    </row>
    <row r="58" spans="1:3" x14ac:dyDescent="0.25">
      <c r="A58" t="s">
        <v>2095</v>
      </c>
      <c r="B58">
        <v>10</v>
      </c>
      <c r="C58">
        <v>10</v>
      </c>
    </row>
    <row r="59" spans="1:3" x14ac:dyDescent="0.25">
      <c r="A59" t="s">
        <v>2096</v>
      </c>
      <c r="B59">
        <v>10</v>
      </c>
      <c r="C59">
        <v>10</v>
      </c>
    </row>
    <row r="60" spans="1:3" x14ac:dyDescent="0.25">
      <c r="A60" t="s">
        <v>2107</v>
      </c>
      <c r="B60">
        <v>1</v>
      </c>
      <c r="C60">
        <v>1</v>
      </c>
    </row>
    <row r="62" spans="1:3" x14ac:dyDescent="0.25">
      <c r="A62" s="2" t="s">
        <v>2045</v>
      </c>
      <c r="B62" s="2" t="s">
        <v>2081</v>
      </c>
      <c r="C62" s="2" t="s">
        <v>2082</v>
      </c>
    </row>
    <row r="63" spans="1:3" x14ac:dyDescent="0.25">
      <c r="A63" t="s">
        <v>2024</v>
      </c>
      <c r="B63">
        <v>4</v>
      </c>
      <c r="C63">
        <v>4</v>
      </c>
    </row>
    <row r="64" spans="1:3" x14ac:dyDescent="0.25">
      <c r="A64" t="s">
        <v>2090</v>
      </c>
      <c r="B64">
        <v>10</v>
      </c>
      <c r="C64">
        <v>10</v>
      </c>
    </row>
    <row r="65" spans="1:3" x14ac:dyDescent="0.25">
      <c r="A65" t="s">
        <v>2083</v>
      </c>
      <c r="B65">
        <v>9</v>
      </c>
      <c r="C65">
        <v>11</v>
      </c>
    </row>
    <row r="66" spans="1:3" x14ac:dyDescent="0.25">
      <c r="A66" t="s">
        <v>2085</v>
      </c>
      <c r="B66">
        <v>10</v>
      </c>
      <c r="C66">
        <v>15</v>
      </c>
    </row>
    <row r="67" spans="1:3" x14ac:dyDescent="0.25">
      <c r="A67" t="s">
        <v>2108</v>
      </c>
      <c r="B67">
        <v>1</v>
      </c>
      <c r="C67">
        <v>1</v>
      </c>
    </row>
    <row r="69" spans="1:3" x14ac:dyDescent="0.25">
      <c r="A69" s="2" t="s">
        <v>2109</v>
      </c>
      <c r="B69" s="2" t="s">
        <v>2081</v>
      </c>
      <c r="C69" s="2" t="s">
        <v>2082</v>
      </c>
    </row>
    <row r="70" spans="1:3" x14ac:dyDescent="0.25">
      <c r="A70" t="s">
        <v>2024</v>
      </c>
      <c r="B70">
        <v>3</v>
      </c>
      <c r="C70">
        <v>3</v>
      </c>
    </row>
    <row r="71" spans="1:3" x14ac:dyDescent="0.25">
      <c r="A71" t="s">
        <v>2085</v>
      </c>
      <c r="B71">
        <v>15</v>
      </c>
      <c r="C71">
        <v>18</v>
      </c>
    </row>
    <row r="72" spans="1:3" x14ac:dyDescent="0.25">
      <c r="A72" t="s">
        <v>2108</v>
      </c>
      <c r="B72">
        <v>1</v>
      </c>
      <c r="C72">
        <v>1</v>
      </c>
    </row>
    <row r="76" spans="1:3" x14ac:dyDescent="0.25">
      <c r="A76" s="2" t="s">
        <v>2110</v>
      </c>
      <c r="B76" s="2" t="s">
        <v>2081</v>
      </c>
      <c r="C76" s="2" t="s">
        <v>2082</v>
      </c>
    </row>
    <row r="77" spans="1:3" x14ac:dyDescent="0.25">
      <c r="A77" t="s">
        <v>2024</v>
      </c>
      <c r="B77">
        <v>5</v>
      </c>
      <c r="C77">
        <v>5</v>
      </c>
    </row>
    <row r="78" spans="1:3" x14ac:dyDescent="0.25">
      <c r="A78" t="s">
        <v>1813</v>
      </c>
      <c r="B78">
        <v>10</v>
      </c>
      <c r="C78">
        <v>10</v>
      </c>
    </row>
    <row r="79" spans="1:3" x14ac:dyDescent="0.25">
      <c r="A79" t="s">
        <v>2091</v>
      </c>
      <c r="B79">
        <v>10</v>
      </c>
      <c r="C79">
        <v>10</v>
      </c>
    </row>
    <row r="80" spans="1:3" x14ac:dyDescent="0.25">
      <c r="A80" t="s">
        <v>2096</v>
      </c>
      <c r="B80">
        <v>10</v>
      </c>
      <c r="C80">
        <v>10</v>
      </c>
    </row>
    <row r="81" spans="1:3" x14ac:dyDescent="0.25">
      <c r="A81" t="s">
        <v>2087</v>
      </c>
      <c r="B81">
        <v>25</v>
      </c>
      <c r="C81">
        <v>25</v>
      </c>
    </row>
    <row r="82" spans="1:3" x14ac:dyDescent="0.25">
      <c r="A82" t="s">
        <v>2111</v>
      </c>
      <c r="B82">
        <v>5</v>
      </c>
      <c r="C82">
        <v>5</v>
      </c>
    </row>
    <row r="83" spans="1:3" x14ac:dyDescent="0.25">
      <c r="A83" t="s">
        <v>2108</v>
      </c>
      <c r="B83">
        <v>1</v>
      </c>
      <c r="C83">
        <v>1</v>
      </c>
    </row>
    <row r="84" spans="1:3" x14ac:dyDescent="0.25">
      <c r="A84" t="s">
        <v>2107</v>
      </c>
      <c r="B84">
        <v>1</v>
      </c>
      <c r="C84">
        <v>1</v>
      </c>
    </row>
  </sheetData>
  <mergeCells count="3">
    <mergeCell ref="A1:C1"/>
    <mergeCell ref="E1:H1"/>
    <mergeCell ref="E17:H17"/>
  </mergeCells>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Roman,Regular"&amp;12&amp;KffffffSeite &amp;P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B10"/>
  <sheetViews>
    <sheetView zoomScaleNormal="100" workbookViewId="0">
      <selection activeCell="B2" sqref="B2"/>
    </sheetView>
  </sheetViews>
  <sheetFormatPr baseColWidth="10" defaultColWidth="11.5703125" defaultRowHeight="15" x14ac:dyDescent="0.25"/>
  <sheetData>
    <row r="1" spans="1:2" x14ac:dyDescent="0.25">
      <c r="A1" t="s">
        <v>2112</v>
      </c>
      <c r="B1" t="s">
        <v>2113</v>
      </c>
    </row>
    <row r="2" spans="1:2" x14ac:dyDescent="0.25">
      <c r="A2" t="s">
        <v>2114</v>
      </c>
    </row>
    <row r="3" spans="1:2" x14ac:dyDescent="0.25">
      <c r="A3" t="s">
        <v>2115</v>
      </c>
    </row>
    <row r="4" spans="1:2" x14ac:dyDescent="0.25">
      <c r="A4" t="s">
        <v>2116</v>
      </c>
    </row>
    <row r="5" spans="1:2" x14ac:dyDescent="0.25">
      <c r="A5" t="s">
        <v>2117</v>
      </c>
    </row>
    <row r="6" spans="1:2" x14ac:dyDescent="0.25">
      <c r="A6" t="s">
        <v>2118</v>
      </c>
    </row>
    <row r="7" spans="1:2" x14ac:dyDescent="0.25">
      <c r="A7" t="s">
        <v>2119</v>
      </c>
    </row>
    <row r="8" spans="1:2" x14ac:dyDescent="0.25">
      <c r="A8" t="s">
        <v>2120</v>
      </c>
    </row>
    <row r="9" spans="1:2" x14ac:dyDescent="0.25">
      <c r="A9" t="s">
        <v>2121</v>
      </c>
    </row>
    <row r="10" spans="1:2" x14ac:dyDescent="0.25">
      <c r="A10" t="s">
        <v>2122</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Roman,Regular"&amp;12&amp;KffffffPage &amp;P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G4"/>
  <sheetViews>
    <sheetView zoomScaleNormal="100" workbookViewId="0">
      <selection activeCell="C8" sqref="C8"/>
    </sheetView>
  </sheetViews>
  <sheetFormatPr baseColWidth="10" defaultColWidth="11.5703125" defaultRowHeight="15" x14ac:dyDescent="0.25"/>
  <cols>
    <col min="2" max="2" width="24.42578125" customWidth="1"/>
    <col min="7" max="7" width="14.7109375" customWidth="1"/>
  </cols>
  <sheetData>
    <row r="1" spans="1:7" x14ac:dyDescent="0.25">
      <c r="A1" t="s">
        <v>570</v>
      </c>
      <c r="B1" t="s">
        <v>1072</v>
      </c>
      <c r="D1" t="s">
        <v>483</v>
      </c>
      <c r="E1" t="s">
        <v>481</v>
      </c>
      <c r="F1" t="s">
        <v>2123</v>
      </c>
      <c r="G1" t="s">
        <v>2124</v>
      </c>
    </row>
    <row r="2" spans="1:7" x14ac:dyDescent="0.25">
      <c r="A2">
        <v>17</v>
      </c>
      <c r="B2" t="s">
        <v>2125</v>
      </c>
      <c r="D2" t="s">
        <v>995</v>
      </c>
      <c r="E2">
        <v>5</v>
      </c>
      <c r="F2">
        <v>17</v>
      </c>
      <c r="G2" t="s">
        <v>2126</v>
      </c>
    </row>
    <row r="3" spans="1:7" x14ac:dyDescent="0.25">
      <c r="A3">
        <v>18</v>
      </c>
      <c r="B3" t="s">
        <v>2127</v>
      </c>
      <c r="D3" t="s">
        <v>995</v>
      </c>
      <c r="E3">
        <v>10</v>
      </c>
      <c r="F3">
        <v>18</v>
      </c>
      <c r="G3" t="s">
        <v>2128</v>
      </c>
    </row>
    <row r="4" spans="1:7" x14ac:dyDescent="0.25">
      <c r="A4">
        <v>13</v>
      </c>
      <c r="B4" t="s">
        <v>2129</v>
      </c>
      <c r="D4" t="s">
        <v>995</v>
      </c>
      <c r="E4">
        <v>13</v>
      </c>
      <c r="F4" t="s">
        <v>2130</v>
      </c>
      <c r="G4" t="s">
        <v>1097</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Roman,Regular"&amp;12&amp;KffffffPage &amp;P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43"/>
  <sheetViews>
    <sheetView topLeftCell="A34" zoomScaleNormal="100" workbookViewId="0">
      <selection activeCell="E20" sqref="E20"/>
    </sheetView>
  </sheetViews>
  <sheetFormatPr baseColWidth="10" defaultColWidth="11.7109375" defaultRowHeight="15" x14ac:dyDescent="0.25"/>
  <sheetData>
    <row r="1" spans="1:1" x14ac:dyDescent="0.25">
      <c r="A1" t="s">
        <v>2131</v>
      </c>
    </row>
    <row r="3" spans="1:1" x14ac:dyDescent="0.25">
      <c r="A3" t="s">
        <v>2132</v>
      </c>
    </row>
    <row r="4" spans="1:1" x14ac:dyDescent="0.25">
      <c r="A4" t="s">
        <v>2133</v>
      </c>
    </row>
    <row r="5" spans="1:1" x14ac:dyDescent="0.25">
      <c r="A5" t="s">
        <v>2134</v>
      </c>
    </row>
    <row r="6" spans="1:1" x14ac:dyDescent="0.25">
      <c r="A6" t="s">
        <v>2135</v>
      </c>
    </row>
    <row r="7" spans="1:1" x14ac:dyDescent="0.25">
      <c r="A7" t="s">
        <v>2136</v>
      </c>
    </row>
    <row r="9" spans="1:1" x14ac:dyDescent="0.25">
      <c r="A9" t="s">
        <v>2137</v>
      </c>
    </row>
    <row r="10" spans="1:1" x14ac:dyDescent="0.25">
      <c r="A10" t="s">
        <v>2138</v>
      </c>
    </row>
    <row r="11" spans="1:1" x14ac:dyDescent="0.25">
      <c r="A11" t="s">
        <v>2139</v>
      </c>
    </row>
    <row r="12" spans="1:1" x14ac:dyDescent="0.25">
      <c r="A12" t="s">
        <v>2140</v>
      </c>
    </row>
    <row r="13" spans="1:1" x14ac:dyDescent="0.25">
      <c r="A13" t="s">
        <v>2141</v>
      </c>
    </row>
    <row r="15" spans="1:1" x14ac:dyDescent="0.25">
      <c r="A15" t="s">
        <v>2142</v>
      </c>
    </row>
    <row r="16" spans="1:1" x14ac:dyDescent="0.25">
      <c r="A16" t="s">
        <v>2143</v>
      </c>
    </row>
    <row r="17" spans="1:1" x14ac:dyDescent="0.25">
      <c r="A17" t="s">
        <v>2144</v>
      </c>
    </row>
    <row r="18" spans="1:1" x14ac:dyDescent="0.25">
      <c r="A18" t="s">
        <v>2145</v>
      </c>
    </row>
    <row r="19" spans="1:1" x14ac:dyDescent="0.25">
      <c r="A19" t="s">
        <v>2146</v>
      </c>
    </row>
    <row r="21" spans="1:1" x14ac:dyDescent="0.25">
      <c r="A21" t="s">
        <v>2147</v>
      </c>
    </row>
    <row r="22" spans="1:1" x14ac:dyDescent="0.25">
      <c r="A22" t="s">
        <v>2148</v>
      </c>
    </row>
    <row r="23" spans="1:1" x14ac:dyDescent="0.25">
      <c r="A23" t="s">
        <v>2149</v>
      </c>
    </row>
    <row r="24" spans="1:1" x14ac:dyDescent="0.25">
      <c r="A24" t="s">
        <v>2150</v>
      </c>
    </row>
    <row r="25" spans="1:1" x14ac:dyDescent="0.25">
      <c r="A25" t="s">
        <v>2151</v>
      </c>
    </row>
    <row r="27" spans="1:1" x14ac:dyDescent="0.25">
      <c r="A27" t="s">
        <v>2152</v>
      </c>
    </row>
    <row r="28" spans="1:1" x14ac:dyDescent="0.25">
      <c r="A28" t="s">
        <v>2153</v>
      </c>
    </row>
    <row r="29" spans="1:1" x14ac:dyDescent="0.25">
      <c r="A29" t="s">
        <v>2154</v>
      </c>
    </row>
    <row r="30" spans="1:1" x14ac:dyDescent="0.25">
      <c r="A30" t="s">
        <v>2155</v>
      </c>
    </row>
    <row r="31" spans="1:1" x14ac:dyDescent="0.25">
      <c r="A31" t="s">
        <v>2156</v>
      </c>
    </row>
    <row r="33" spans="1:1" x14ac:dyDescent="0.25">
      <c r="A33" t="s">
        <v>2157</v>
      </c>
    </row>
    <row r="34" spans="1:1" x14ac:dyDescent="0.25">
      <c r="A34" t="s">
        <v>2158</v>
      </c>
    </row>
    <row r="35" spans="1:1" x14ac:dyDescent="0.25">
      <c r="A35" t="s">
        <v>2159</v>
      </c>
    </row>
    <row r="36" spans="1:1" x14ac:dyDescent="0.25">
      <c r="A36" t="s">
        <v>2160</v>
      </c>
    </row>
    <row r="37" spans="1:1" x14ac:dyDescent="0.25">
      <c r="A37" t="s">
        <v>2161</v>
      </c>
    </row>
    <row r="39" spans="1:1" x14ac:dyDescent="0.25">
      <c r="A39" t="s">
        <v>2162</v>
      </c>
    </row>
    <row r="40" spans="1:1" x14ac:dyDescent="0.25">
      <c r="A40" t="s">
        <v>2163</v>
      </c>
    </row>
    <row r="41" spans="1:1" x14ac:dyDescent="0.25">
      <c r="A41" t="s">
        <v>2164</v>
      </c>
    </row>
    <row r="42" spans="1:1" x14ac:dyDescent="0.25">
      <c r="A42" t="s">
        <v>2165</v>
      </c>
    </row>
    <row r="43" spans="1:1" x14ac:dyDescent="0.25">
      <c r="A43" t="s">
        <v>2166</v>
      </c>
    </row>
  </sheetData>
  <pageMargins left="0.7" right="0.7" top="0.78749999999999998" bottom="0.78749999999999998" header="0.511811023622047" footer="0.511811023622047"/>
  <pageSetup paperSize="9"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L38"/>
  <sheetViews>
    <sheetView zoomScaleNormal="100" workbookViewId="0">
      <selection activeCell="I15" sqref="I15"/>
    </sheetView>
  </sheetViews>
  <sheetFormatPr baseColWidth="10" defaultColWidth="11.5703125" defaultRowHeight="15" x14ac:dyDescent="0.25"/>
  <cols>
    <col min="2" max="2" width="16.7109375" customWidth="1"/>
    <col min="8" max="8" width="17" customWidth="1"/>
  </cols>
  <sheetData>
    <row r="1" spans="1:12" x14ac:dyDescent="0.25">
      <c r="A1" s="81" t="s">
        <v>2167</v>
      </c>
      <c r="B1" s="81"/>
      <c r="C1" s="81"/>
      <c r="E1" s="81" t="s">
        <v>2168</v>
      </c>
      <c r="F1" s="81"/>
      <c r="G1" s="81"/>
      <c r="H1" s="81"/>
      <c r="J1" s="81" t="s">
        <v>2169</v>
      </c>
      <c r="K1" s="81"/>
      <c r="L1" s="81"/>
    </row>
    <row r="2" spans="1:12" x14ac:dyDescent="0.25">
      <c r="A2" s="36" t="s">
        <v>834</v>
      </c>
      <c r="B2" s="36" t="s">
        <v>482</v>
      </c>
      <c r="C2" s="36" t="s">
        <v>2170</v>
      </c>
      <c r="E2" s="36" t="s">
        <v>834</v>
      </c>
      <c r="F2" s="36" t="s">
        <v>482</v>
      </c>
      <c r="G2" s="36" t="s">
        <v>2170</v>
      </c>
      <c r="H2" s="36" t="s">
        <v>1461</v>
      </c>
      <c r="J2" s="36" t="s">
        <v>834</v>
      </c>
      <c r="K2" s="36" t="s">
        <v>2171</v>
      </c>
      <c r="L2" s="36" t="s">
        <v>2170</v>
      </c>
    </row>
    <row r="3" spans="1:12" x14ac:dyDescent="0.25">
      <c r="A3" s="36">
        <v>73</v>
      </c>
      <c r="B3" s="36" t="s">
        <v>2172</v>
      </c>
      <c r="C3" s="36">
        <v>1</v>
      </c>
      <c r="E3" s="36" t="s">
        <v>2173</v>
      </c>
      <c r="F3" s="36" t="s">
        <v>2174</v>
      </c>
      <c r="G3" s="36">
        <v>5</v>
      </c>
      <c r="H3" s="36" t="s">
        <v>2175</v>
      </c>
      <c r="J3" s="36">
        <v>304</v>
      </c>
      <c r="K3" s="36" t="s">
        <v>1402</v>
      </c>
      <c r="L3" s="36">
        <v>2</v>
      </c>
    </row>
    <row r="4" spans="1:12" x14ac:dyDescent="0.25">
      <c r="A4" s="36">
        <v>98</v>
      </c>
      <c r="B4" s="36" t="s">
        <v>937</v>
      </c>
      <c r="C4" s="36">
        <v>1</v>
      </c>
      <c r="E4" s="36"/>
      <c r="F4" s="36"/>
      <c r="G4" s="36"/>
      <c r="H4" s="36"/>
      <c r="J4" s="36"/>
      <c r="K4" s="36"/>
      <c r="L4" s="36"/>
    </row>
    <row r="5" spans="1:12" x14ac:dyDescent="0.25">
      <c r="A5" s="36">
        <v>106</v>
      </c>
      <c r="B5" s="36" t="s">
        <v>2176</v>
      </c>
      <c r="C5" s="36">
        <v>1</v>
      </c>
      <c r="E5" s="36"/>
      <c r="F5" s="36"/>
      <c r="G5" s="36"/>
      <c r="H5" s="36"/>
      <c r="J5" s="36"/>
      <c r="K5" s="36"/>
      <c r="L5" s="36"/>
    </row>
    <row r="6" spans="1:12" x14ac:dyDescent="0.25">
      <c r="A6" s="36">
        <v>107</v>
      </c>
      <c r="B6" s="36" t="s">
        <v>2177</v>
      </c>
      <c r="C6" s="36">
        <v>2</v>
      </c>
      <c r="E6" s="36"/>
      <c r="F6" s="36"/>
      <c r="G6" s="36"/>
      <c r="H6" s="36"/>
      <c r="J6" s="36"/>
      <c r="K6" s="36"/>
      <c r="L6" s="36"/>
    </row>
    <row r="7" spans="1:12" x14ac:dyDescent="0.25">
      <c r="A7" s="36">
        <v>108</v>
      </c>
      <c r="B7" s="36" t="s">
        <v>2178</v>
      </c>
      <c r="C7" s="36">
        <v>3</v>
      </c>
      <c r="E7" s="36"/>
      <c r="F7" s="36"/>
      <c r="G7" s="36"/>
      <c r="H7" s="36"/>
      <c r="J7" s="36"/>
      <c r="K7" s="36"/>
      <c r="L7" s="36"/>
    </row>
    <row r="8" spans="1:12" x14ac:dyDescent="0.25">
      <c r="A8" s="36">
        <v>109</v>
      </c>
      <c r="B8" s="36" t="s">
        <v>2179</v>
      </c>
      <c r="C8" s="36">
        <v>4</v>
      </c>
      <c r="E8" s="36"/>
      <c r="F8" s="36"/>
      <c r="G8" s="36"/>
      <c r="H8" s="36"/>
      <c r="J8" s="36"/>
      <c r="K8" s="36"/>
      <c r="L8" s="36"/>
    </row>
    <row r="9" spans="1:12" x14ac:dyDescent="0.25">
      <c r="A9" s="36">
        <v>110</v>
      </c>
      <c r="B9" s="36" t="s">
        <v>2180</v>
      </c>
      <c r="C9" s="36">
        <v>5</v>
      </c>
      <c r="E9" s="36"/>
      <c r="F9" s="36"/>
      <c r="G9" s="36"/>
      <c r="H9" s="36"/>
      <c r="J9" s="36"/>
      <c r="K9" s="36"/>
      <c r="L9" s="36"/>
    </row>
    <row r="10" spans="1:12" x14ac:dyDescent="0.25">
      <c r="A10" s="36">
        <v>111</v>
      </c>
      <c r="B10" s="36" t="s">
        <v>2181</v>
      </c>
      <c r="C10" s="36">
        <v>7</v>
      </c>
    </row>
    <row r="11" spans="1:12" x14ac:dyDescent="0.25">
      <c r="A11">
        <v>112</v>
      </c>
      <c r="B11" t="s">
        <v>2182</v>
      </c>
      <c r="C11">
        <v>2</v>
      </c>
    </row>
    <row r="12" spans="1:12" x14ac:dyDescent="0.25">
      <c r="A12">
        <v>113</v>
      </c>
      <c r="B12" t="s">
        <v>2183</v>
      </c>
      <c r="C12">
        <v>1</v>
      </c>
    </row>
    <row r="15" spans="1:12" x14ac:dyDescent="0.25">
      <c r="A15" s="67" t="s">
        <v>2184</v>
      </c>
    </row>
    <row r="16" spans="1:12" x14ac:dyDescent="0.25">
      <c r="A16" s="67" t="s">
        <v>2185</v>
      </c>
      <c r="B16" s="67" t="s">
        <v>2186</v>
      </c>
      <c r="C16" s="67" t="s">
        <v>2187</v>
      </c>
      <c r="D16" s="67" t="s">
        <v>2188</v>
      </c>
      <c r="E16" s="67" t="s">
        <v>2189</v>
      </c>
      <c r="F16" s="67" t="s">
        <v>2190</v>
      </c>
    </row>
    <row r="17" spans="1:6" x14ac:dyDescent="0.25">
      <c r="A17" t="s">
        <v>2191</v>
      </c>
      <c r="B17">
        <v>6</v>
      </c>
      <c r="C17">
        <v>1</v>
      </c>
      <c r="D17">
        <f t="shared" ref="D17:D34" si="0">B17*C17</f>
        <v>6</v>
      </c>
      <c r="E17" t="s">
        <v>2192</v>
      </c>
    </row>
    <row r="18" spans="1:6" x14ac:dyDescent="0.25">
      <c r="A18" t="s">
        <v>2193</v>
      </c>
      <c r="B18">
        <v>3</v>
      </c>
      <c r="C18">
        <v>1</v>
      </c>
      <c r="D18">
        <f t="shared" si="0"/>
        <v>3</v>
      </c>
      <c r="E18" t="s">
        <v>2192</v>
      </c>
    </row>
    <row r="19" spans="1:6" x14ac:dyDescent="0.25">
      <c r="A19" t="s">
        <v>2194</v>
      </c>
      <c r="B19">
        <v>1</v>
      </c>
      <c r="C19">
        <v>15</v>
      </c>
      <c r="D19">
        <f t="shared" si="0"/>
        <v>15</v>
      </c>
      <c r="E19" t="s">
        <v>2192</v>
      </c>
      <c r="F19" t="s">
        <v>2195</v>
      </c>
    </row>
    <row r="20" spans="1:6" x14ac:dyDescent="0.25">
      <c r="A20" t="s">
        <v>2196</v>
      </c>
      <c r="B20">
        <v>1</v>
      </c>
      <c r="C20">
        <v>7</v>
      </c>
      <c r="D20">
        <f t="shared" si="0"/>
        <v>7</v>
      </c>
      <c r="E20" t="s">
        <v>2192</v>
      </c>
    </row>
    <row r="21" spans="1:6" x14ac:dyDescent="0.25">
      <c r="A21" t="s">
        <v>2197</v>
      </c>
      <c r="B21">
        <v>1</v>
      </c>
      <c r="C21">
        <v>8</v>
      </c>
      <c r="D21">
        <f t="shared" si="0"/>
        <v>8</v>
      </c>
      <c r="E21" t="s">
        <v>2192</v>
      </c>
      <c r="F21" t="s">
        <v>2198</v>
      </c>
    </row>
    <row r="22" spans="1:6" x14ac:dyDescent="0.25">
      <c r="A22" t="s">
        <v>2199</v>
      </c>
      <c r="B22">
        <v>1</v>
      </c>
      <c r="C22">
        <v>2</v>
      </c>
      <c r="D22">
        <f t="shared" si="0"/>
        <v>2</v>
      </c>
      <c r="E22" t="s">
        <v>2192</v>
      </c>
    </row>
    <row r="23" spans="1:6" x14ac:dyDescent="0.25">
      <c r="A23" t="s">
        <v>2200</v>
      </c>
      <c r="B23">
        <v>1</v>
      </c>
      <c r="C23">
        <v>5</v>
      </c>
      <c r="D23">
        <f t="shared" si="0"/>
        <v>5</v>
      </c>
      <c r="E23" t="s">
        <v>2192</v>
      </c>
    </row>
    <row r="24" spans="1:6" x14ac:dyDescent="0.25">
      <c r="A24" t="s">
        <v>2201</v>
      </c>
      <c r="B24">
        <v>7</v>
      </c>
      <c r="C24">
        <v>20</v>
      </c>
      <c r="D24">
        <f t="shared" si="0"/>
        <v>140</v>
      </c>
      <c r="E24" t="s">
        <v>2202</v>
      </c>
      <c r="F24" t="s">
        <v>2203</v>
      </c>
    </row>
    <row r="25" spans="1:6" x14ac:dyDescent="0.25">
      <c r="A25" t="s">
        <v>2204</v>
      </c>
      <c r="B25">
        <v>7</v>
      </c>
      <c r="C25">
        <v>15</v>
      </c>
      <c r="D25">
        <f t="shared" si="0"/>
        <v>105</v>
      </c>
      <c r="E25" t="s">
        <v>2202</v>
      </c>
      <c r="F25" t="s">
        <v>2205</v>
      </c>
    </row>
    <row r="26" spans="1:6" x14ac:dyDescent="0.25">
      <c r="A26" t="s">
        <v>2206</v>
      </c>
      <c r="B26">
        <v>3</v>
      </c>
      <c r="C26">
        <v>25</v>
      </c>
      <c r="D26">
        <f t="shared" si="0"/>
        <v>75</v>
      </c>
      <c r="E26" t="s">
        <v>2202</v>
      </c>
      <c r="F26" t="s">
        <v>2207</v>
      </c>
    </row>
    <row r="27" spans="1:6" x14ac:dyDescent="0.25">
      <c r="A27" t="s">
        <v>2208</v>
      </c>
      <c r="B27">
        <v>1</v>
      </c>
      <c r="C27">
        <v>15</v>
      </c>
      <c r="D27">
        <f t="shared" si="0"/>
        <v>15</v>
      </c>
      <c r="E27" t="s">
        <v>2202</v>
      </c>
    </row>
    <row r="28" spans="1:6" x14ac:dyDescent="0.25">
      <c r="A28" t="s">
        <v>2209</v>
      </c>
      <c r="B28">
        <v>8</v>
      </c>
      <c r="C28">
        <v>5</v>
      </c>
      <c r="D28">
        <f t="shared" si="0"/>
        <v>40</v>
      </c>
      <c r="E28" t="s">
        <v>2202</v>
      </c>
      <c r="F28" t="s">
        <v>2210</v>
      </c>
    </row>
    <row r="29" spans="1:6" x14ac:dyDescent="0.25">
      <c r="A29" t="s">
        <v>2211</v>
      </c>
      <c r="B29">
        <v>1</v>
      </c>
      <c r="C29">
        <v>10</v>
      </c>
      <c r="D29">
        <f t="shared" si="0"/>
        <v>10</v>
      </c>
      <c r="E29" t="s">
        <v>2192</v>
      </c>
      <c r="F29" t="s">
        <v>2262</v>
      </c>
    </row>
    <row r="30" spans="1:6" x14ac:dyDescent="0.25">
      <c r="A30" t="s">
        <v>2212</v>
      </c>
      <c r="B30">
        <v>3</v>
      </c>
      <c r="C30">
        <v>15</v>
      </c>
      <c r="D30">
        <f t="shared" si="0"/>
        <v>45</v>
      </c>
      <c r="E30" t="s">
        <v>2202</v>
      </c>
    </row>
    <row r="31" spans="1:6" x14ac:dyDescent="0.25">
      <c r="A31" t="s">
        <v>2213</v>
      </c>
      <c r="B31">
        <v>2</v>
      </c>
      <c r="C31">
        <v>15</v>
      </c>
      <c r="D31">
        <f t="shared" si="0"/>
        <v>30</v>
      </c>
      <c r="E31" t="s">
        <v>2202</v>
      </c>
    </row>
    <row r="32" spans="1:6" x14ac:dyDescent="0.25">
      <c r="A32" t="s">
        <v>2214</v>
      </c>
      <c r="B32">
        <v>1</v>
      </c>
      <c r="C32">
        <v>15</v>
      </c>
      <c r="D32">
        <f t="shared" si="0"/>
        <v>15</v>
      </c>
      <c r="E32" t="s">
        <v>2202</v>
      </c>
    </row>
    <row r="33" spans="1:6" x14ac:dyDescent="0.25">
      <c r="A33" t="s">
        <v>2215</v>
      </c>
      <c r="B33">
        <v>1</v>
      </c>
      <c r="C33">
        <v>30</v>
      </c>
      <c r="D33">
        <f t="shared" si="0"/>
        <v>30</v>
      </c>
      <c r="E33" t="s">
        <v>2202</v>
      </c>
      <c r="F33" t="s">
        <v>2216</v>
      </c>
    </row>
    <row r="34" spans="1:6" x14ac:dyDescent="0.25">
      <c r="A34" t="s">
        <v>2217</v>
      </c>
      <c r="B34">
        <v>0</v>
      </c>
      <c r="C34">
        <v>1</v>
      </c>
      <c r="D34">
        <f t="shared" si="0"/>
        <v>0</v>
      </c>
      <c r="E34" t="s">
        <v>2218</v>
      </c>
      <c r="F34" t="s">
        <v>2219</v>
      </c>
    </row>
    <row r="36" spans="1:6" x14ac:dyDescent="0.25">
      <c r="A36" t="s">
        <v>2220</v>
      </c>
      <c r="D36">
        <f>SUMIF(E17:E34,"Ist",D17:D34)</f>
        <v>56</v>
      </c>
    </row>
    <row r="37" spans="1:6" x14ac:dyDescent="0.25">
      <c r="A37" t="s">
        <v>2221</v>
      </c>
      <c r="D37">
        <f>SUMIF(E17:E34,"Geplant",D17:D34)</f>
        <v>495</v>
      </c>
    </row>
    <row r="38" spans="1:6" x14ac:dyDescent="0.25">
      <c r="A38" s="67" t="s">
        <v>2222</v>
      </c>
      <c r="D38" s="67">
        <f>D36+D37</f>
        <v>551</v>
      </c>
    </row>
  </sheetData>
  <mergeCells count="3">
    <mergeCell ref="A1:C1"/>
    <mergeCell ref="E1:H1"/>
    <mergeCell ref="J1:L1"/>
  </mergeCells>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42</vt:i4>
      </vt:variant>
    </vt:vector>
  </HeadingPairs>
  <TitlesOfParts>
    <vt:vector size="42" baseType="lpstr">
      <vt:lpstr>Neue Daten Ep3</vt:lpstr>
      <vt:lpstr>Changelog</vt:lpstr>
      <vt:lpstr>Summary</vt:lpstr>
      <vt:lpstr>Todo</vt:lpstr>
      <vt:lpstr>GlobalVars</vt:lpstr>
      <vt:lpstr>Keywords</vt:lpstr>
      <vt:lpstr>GotoPoints</vt:lpstr>
      <vt:lpstr>ObjectTexts</vt:lpstr>
      <vt:lpstr>Items</vt:lpstr>
      <vt:lpstr>Monsters</vt:lpstr>
      <vt:lpstr>Maps</vt:lpstr>
      <vt:lpstr>Labdata</vt:lpstr>
      <vt:lpstr>MapChanges</vt:lpstr>
      <vt:lpstr>NPCs</vt:lpstr>
      <vt:lpstr>Chests</vt:lpstr>
      <vt:lpstr>Doors</vt:lpstr>
      <vt:lpstr>Places</vt:lpstr>
      <vt:lpstr>TextChanges</vt:lpstr>
      <vt:lpstr>CharChanges</vt:lpstr>
      <vt:lpstr>TileChangeEvents</vt:lpstr>
      <vt:lpstr>ObjectGfx</vt:lpstr>
      <vt:lpstr>WallGfx</vt:lpstr>
      <vt:lpstr>Overlays</vt:lpstr>
      <vt:lpstr>Floors</vt:lpstr>
      <vt:lpstr>Event Pics</vt:lpstr>
      <vt:lpstr>Tiles</vt:lpstr>
      <vt:lpstr>SpellChanges</vt:lpstr>
      <vt:lpstr>Quest - Sea Creatures</vt:lpstr>
      <vt:lpstr>SpellDamage</vt:lpstr>
      <vt:lpstr>Black Mountains</vt:lpstr>
      <vt:lpstr>SavegamePatching</vt:lpstr>
      <vt:lpstr>CodeChanges</vt:lpstr>
      <vt:lpstr>Exp Table</vt:lpstr>
      <vt:lpstr>Bosses</vt:lpstr>
      <vt:lpstr>Portraits</vt:lpstr>
      <vt:lpstr>MonsterGfx</vt:lpstr>
      <vt:lpstr>Custom Translate</vt:lpstr>
      <vt:lpstr>Kasimir Stats</vt:lpstr>
      <vt:lpstr>Name Ideas</vt:lpstr>
      <vt:lpstr>CombatBackgrounds</vt:lpstr>
      <vt:lpstr>ElementChanges</vt:lpstr>
      <vt:lpstr>Shards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Robert</dc:creator>
  <dc:description/>
  <cp:lastModifiedBy>Robert Schneckenhaus</cp:lastModifiedBy>
  <cp:revision>1583</cp:revision>
  <dcterms:created xsi:type="dcterms:W3CDTF">2015-06-05T18:19:34Z</dcterms:created>
  <dcterms:modified xsi:type="dcterms:W3CDTF">2026-10-07T08:03:39Z</dcterms:modified>
  <dc:language>de-DE</dc:language>
</cp:coreProperties>
</file>