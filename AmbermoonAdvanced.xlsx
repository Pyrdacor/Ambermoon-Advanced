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9BB35BEC-9DFE-4A6A-994A-10BB7FCAED88}" xr6:coauthVersionLast="47" xr6:coauthVersionMax="47" xr10:uidLastSave="{00000000-0000-0000-0000-000000000000}"/>
  <bookViews>
    <workbookView xWindow="28680" yWindow="-120" windowWidth="29040" windowHeight="15720" tabRatio="500" firstSheet="6" activeTab="14"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8" i="42" l="1"/>
  <c r="D37" i="42"/>
  <c r="D36" i="42"/>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<sst xmlns="http://schemas.openxmlformats.org/spreadsheetml/2006/main" count="3093" uniqueCount="2236">
  <si>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</si>
  <si>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</si>
  <si>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</si>
  <si>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</si>
  <si>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</si>
  <si>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</si>
  <si>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</si>
  <si>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</si>
  <si>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</si>
  <si>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</si>
  <si>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</si>
  <si>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</si>
  <si>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</si>
  <si>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</si>
  <si>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</si>
  <si>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</si>
  <si>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</si>
  <si>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</si>
  <si>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</si>
  <si>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</si>
  <si>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</si>
  <si>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</si>
  <si>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</si>
  <si>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</si>
  <si>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</si>
  <si>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</si>
  <si>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</si>
  <si>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</si>
  <si>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</si>
  <si>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</si>
  <si>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</si>
  <si>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</si>
  <si>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</si>
  <si>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</si>
  <si>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</si>
  <si>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</si>
  <si>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</si>
  <si>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</si>
  <si>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</si>
  <si>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</si>
  <si>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</si>
  <si>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</si>
  <si>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</si>
  <si>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</si>
  <si>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</si>
  <si>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</si>
  <si>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</si>
  <si>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Savegame patcher has to fix the current item damage of left hand items (e.g. sling daggers)</t>
  </si>
  <si>
    <t>Gewichtswerte einiger Partymember sind falsch. Zum Beispiel Erik hat über 50kg wenn er alles weggibt. Könnte der Savegame Patcher fixen,</t>
  </si>
  <si>
    <t>Remove all tile change events from savegames for Antique Area 3. (savegame patcher)</t>
  </si>
  <si>
    <t>Aman is not spawning if the player was already in thief cellar before patching savegame. If event bit 265:4 inactive and glob var 376 is 0, set character bit 407:4 to show and 264:3 to hide</t>
  </si>
  <si>
    <t>New content for manual: Level shard effects, new spells, more spell details, spoiler with all new stuff (many pages with details, maybe even some easter eggs).</t>
  </si>
  <si>
    <t>Fix original bugs:</t>
  </si>
  <si>
    <t>- Lava tile must block walk and horse</t>
  </si>
  <si>
    <t>- Fix stairs in Thalion office</t>
  </si>
  <si>
    <t>- Fix non-blocking walls in 3 maps</t>
  </si>
  <si>
    <t>Test Amiga version</t>
  </si>
  <si>
    <t>APR reward on Amiga must be extended to also adjust APRPerLevel value.</t>
  </si>
  <si>
    <t>Episode 4</t>
  </si>
  <si>
    <t>Add events for map 484, etc</t>
  </si>
  <si>
    <t>Texte für S’Ebi (drauf achten, dass sie erst nach dem Gefängnis möglich sind)</t>
  </si>
  <si>
    <t>- Furniture in prison cells (especially in last room, torture stuff)</t>
  </si>
  <si>
    <t>- More stones when the prison wall is broken and improve the broken wall a bit</t>
  </si>
  <si>
    <t>Add debris after robots die, add other robots and events.</t>
  </si>
  <si>
    <t>Die alte Stadt ist sehr leer. Objekte und Monster (Sandteufel und Echsen) platzieren.</t>
  </si>
  <si>
    <t>Chairs and shelf in wise man house have strange z-interaction with player. Is this the same on Amiga or is the render logic flawed? Revert from Normal to Background maybe?</t>
  </si>
  <si>
    <t>Fix all misaligned overlays (see MisalignedOverlays.txt in project folder). They always must have PositionX of a multiple of 8.</t>
  </si>
  <si>
    <t>Implement extended languages on Amiga</t>
  </si>
  <si>
    <t>Some shadows on world map are broken (sand boat tower etc)</t>
  </si>
  <si>
    <t>Check for wrong tiles on Morag world map</t>
  </si>
  <si>
    <t>Crash in remake when remove many items twice…</t>
  </si>
  <si>
    <t>Amiga allow Level &gt; 50 from event</t>
  </si>
  <si>
    <t>Implement „show map“, „toggle switch“ and the 2 map reveal events for Amiga</t>
  </si>
  <si>
    <t>Set 3D combat background 13 to graphic 13</t>
  </si>
  <si>
    <t>Automaps</t>
  </si>
  <si>
    <t>Hour movement not working on Amiga?!</t>
  </si>
  <si>
    <t>Robot with new spell must prioritize moving if no target is in range.</t>
  </si>
  <si>
    <t>Amiga new spells:</t>
  </si>
  <si>
    <t>- Handle new spell target (enemy row in range). Picking for player and monster, visuals, range checks, etc.</t>
  </si>
  <si>
    <t>- Implement new spells.</t>
  </si>
  <si>
    <t>- Adjust cast spell logic for monsters so they won't fallback to single target spells if "avg prio" is below 50. Right now it may just not cast at all then which is shitty.</t>
  </si>
  <si>
    <t>- Allow using function spells and the new ones (especially for monsters), add spell infos</t>
  </si>
  <si>
    <t>Improve old item gfx in thief quest</t>
  </si>
  <si>
    <t>Maybe improve the white colored plants</t>
  </si>
  <si>
    <t>You should be able to use magic on drugs as now your chance is reduced by it. At least in battle.</t>
  </si>
  <si>
    <t>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</si>
  <si>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</si>
  <si>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</si>
  <si>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</si>
  <si>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Laser trap is still noticed by clairvoyance even if the condition is not met (at least in remake). Check Amiga. We fixed remake I guess (also test).</t>
  </si>
  <si>
    <t>When using eye cursor near lockpick doors in gral temple the text for the spinner appears in remake (this should not happen, also test in original)</t>
  </si>
  <si>
    <t>The message „here is a trap“ comes too often and is annoying</t>
  </si>
  <si>
    <t>Some moving mushrooms in Dor Grestin could not be picked up</t>
  </si>
  <si>
    <t>Man kann diagonal durch die Wand das 4. Wandfach erreichen wenn man sich in die Ecke stellt. Geht das im Original? Sollte ggf. im Remake gefixt werden.</t>
  </si>
  <si>
    <t>Transfer stone can be used on yourself. Also on Amiga?</t>
  </si>
  <si>
    <t>Leuchtende Pfeiler in Wespennest könnte stehen bleiben wenn der Fahrtstuhl nicht mehr fährt oder Richtung umkehren. Unten vielleicht auch. Oder nur bei Bewegung.</t>
  </si>
  <si>
    <t>Texte 18 und 19 von Map 339 (Dor Grestin) wird nicht mehr genutzt. Vielleicht nach Map 381 verschieben. Aber besser die Text ID anderweitig nutzen.</t>
  </si>
  <si>
    <t>Reuse map text 368:3. Previously shown when teleported in front of many guards, now hint that the skeleton hides something.</t>
  </si>
  <si>
    <t>Die Batterie wird nicht dem aktiven Spieler gegeben, sondern dem ersten der Platz hat. Ist das normal? Amiga-Verhalten?</t>
  </si>
  <si>
    <t>Chain 8 und E in AA4 lassen event editor abstürzen mit graph command. Map 368 mit chain 26.</t>
  </si>
  <si>
    <t>Text 14 in AA4 is empty (and also unused?). Also in original.</t>
  </si>
  <si>
    <t>Check if the 3 map events for mystic tower will only work in correct order and what happens if you do it differently</t>
  </si>
  <si>
    <t>Check all auto map icons for all events</t>
  </si>
  <si>
    <t>Maybe later:</t>
  </si>
  <si>
    <t>Hide more stones of knowledge (currently there are 3 I guess)</t>
  </si>
  <si>
    <t>3D Bewegung im Remake läuft manchmal langsam (WASD)</t>
  </si>
  <si>
    <t>Tile issue at bottom rocks in lava stream (player is drawn above when moving from top to bottom but not after spawning there, in remake). Also on the lower middle lava island. Seems like a remake bug.</t>
  </si>
  <si>
    <t>Check if any map graphics (tiles, walls, objects, overlays) are unused and remove them. Adjust refs of course!</t>
  </si>
  <si>
    <t>Thief skill rework:</t>
  </si>
  <si>
    <t>- Open locks is the chance to not destroy the lockpick after opening a lock</t>
  </si>
  <si>
    <t>- Reduce the total amount of lockpicks in the game</t>
  </si>
  <si>
    <t>- What if all lockpicks are destroyed? Even a thief can no longer open locks</t>
  </si>
  <si>
    <t>- Maybe allow more characters to have at least some skill points in Open Locks</t>
  </si>
  <si>
    <t>- Open Locks only works if there is no trap. You can try (also with lockpick) but will trigger the trap instead.</t>
  </si>
  <si>
    <t>- But you will always need the find/disarm trap skills in your party then</t>
  </si>
  <si>
    <t>Option to leave party members at your house if renovated.</t>
  </si>
  <si>
    <t>Original Bugs?</t>
  </si>
  <si>
    <t>- The text bug in Thief cellar in earlier rooms should not occur if you already entered a later room (wrong teleport rooms).</t>
  </si>
  <si>
    <t>- Equipping a two-hand weapon while no other inventory slot is free (only the dragged one), while a shield is equipped,  the weapon is equipped but the previously equipped item is fully gone!</t>
  </si>
  <si>
    <t>-&gt; In fact the buckler is still in the slot. You even can pick it up (the red cross is displayed though). You can also equip a 2H weapon when 1H weapon + shield is equipped. Only the weapon is dragged, the shield remains. Was it like this in v1.07?</t>
  </si>
  <si>
    <t>- Monsters can't pass green slime in old cave</t>
  </si>
  <si>
    <t>- Automap zeigt Fallen auch ohne mystic map (aber nicht in legende). Vielleicht so lassen und in Remake auch so? Am Anfang hat man den Zauber nicht aber will vielleicht Fallen sehen.</t>
  </si>
  <si>
    <t>- Move teleport in map 273 (Town House) lower so you don't stand in the door. Check if you land there when entering and move as well if so.</t>
  </si>
  <si>
    <t>- Text NPC in S'Angrila Inn: "und ich der letzte meiner Familie". Es fehlt "bin".</t>
  </si>
  <si>
    <t>- Schlaf und Furcht führen zu GameOver. Aber aus Schlaf kann man aufwachen und wenn man flieht, dann flieht man halt. :D</t>
  </si>
  <si>
    <t>-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</si>
  <si>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</si>
  <si>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</si>
  <si>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sz val="11"/>
        <color rgb="FF000000"/>
        <rFont val="Calibri"/>
        <family val="2"/>
        <charset val="1"/>
      </rPr>
      <t>(</t>
    </r>
    <r>
      <rPr>
        <sz val="11"/>
        <color rgb="FF000000"/>
        <rFont val="Calibri"/>
        <family val="2"/>
        <charset val="1"/>
      </rPr>
      <t>"GEHEMNISVOLL"</t>
    </r>
    <r>
      <rPr>
        <b/>
        <sz val="11"/>
        <color rgb="FF000000"/>
        <rFont val="Calibri"/>
        <family val="2"/>
        <charset val="1"/>
      </rPr>
      <t>)</t>
    </r>
  </si>
  <si>
    <t>- Man kann Türevents überspringen mit Sprung wenn die Tür nicht blockiert. Auch Places, etc.</t>
  </si>
  <si>
    <t>Remake Bugs? (Maybe as follow-up patch 1.8.1)</t>
  </si>
  <si>
    <t>- Casting self heal in battle and clicking fast afterwards, will not allow any selection of a player (keyboard works)</t>
  </si>
  <si>
    <t>- Sometimes teleporting to cavetown shows strange wall colors (I guess it is the daytime dependent color). Also happened in Spannenberg after using goto point from Carpenter to Gardener. I guess at some daytime only. Only is for short.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</si>
  <si>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</si>
  <si>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</si>
  <si>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</si>
  <si>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</si>
  <si>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</si>
  <si>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</si>
  <si>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</si>
  <si>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</si>
  <si>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</si>
  <si>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</si>
  <si>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</si>
  <si>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</si>
  <si>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</si>
  <si>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</si>
  <si>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</si>
  <si>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</si>
  <si>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</si>
  <si>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</si>
  <si>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</si>
  <si>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</si>
  <si>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</si>
  <si>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</si>
  <si>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</si>
  <si>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</si>
  <si>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</si>
  <si>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</si>
  <si>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</si>
  <si>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</si>
  <si>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</si>
  <si>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</si>
  <si>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</si>
  <si>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</si>
  <si>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</si>
  <si>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</si>
  <si>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</si>
  <si>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</si>
  <si>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</si>
  <si>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</si>
  <si>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</si>
  <si>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</si>
  <si>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</si>
  <si>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</si>
  <si>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</si>
  <si>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</si>
  <si>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</si>
  <si>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</si>
  <si>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</si>
  <si>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</si>
  <si>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</si>
  <si>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</si>
  <si>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</si>
  <si>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</si>
  <si>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</si>
  <si>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</si>
  <si>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</si>
  <si>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</si>
  <si>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</si>
  <si>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</si>
  <si>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</si>
  <si>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</si>
  <si>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</si>
  <si>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</si>
  <si>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</si>
  <si>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</si>
  <si>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</si>
  <si>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</si>
  <si>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</si>
  <si>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</si>
  <si>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</si>
  <si>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</si>
  <si>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</si>
  <si>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</si>
  <si>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</si>
  <si>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</si>
  <si>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</si>
  <si>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</si>
  <si>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</si>
  <si>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</si>
  <si>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</si>
  <si>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</si>
  <si>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</si>
  <si>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</si>
  <si>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</si>
  <si>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</si>
  <si>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</si>
  <si>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</si>
  <si>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</si>
  <si>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</si>
  <si>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</si>
  <si>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</si>
  <si>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</si>
  <si>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</si>
  <si>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</si>
  <si>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</si>
  <si>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</si>
  <si>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</si>
  <si>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</si>
  <si>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</si>
  <si>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</si>
  <si>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</si>
  <si>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</si>
  <si>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</si>
  <si>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</si>
  <si>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</si>
  <si>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</si>
  <si>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</si>
  <si>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</si>
  <si>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</si>
  <si>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</si>
  <si>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</si>
  <si>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</si>
  <si>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</si>
  <si>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</si>
  <si>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</si>
  <si>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</si>
  <si>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</si>
  <si>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</si>
  <si>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</si>
  <si>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</si>
  <si>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</si>
  <si>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</si>
  <si>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</si>
  <si>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</si>
  <si>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</si>
  <si>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</si>
  <si>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</si>
  <si>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</si>
  <si>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</si>
  <si>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</si>
  <si>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</si>
  <si>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</si>
  <si>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</si>
  <si>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</si>
  <si>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</si>
  <si>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</si>
  <si>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</si>
  <si>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</si>
  <si>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</si>
  <si>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</si>
  <si>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</si>
  <si>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</si>
  <si>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</si>
  <si>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</si>
  <si>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</si>
  <si>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</si>
  <si>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</si>
  <si>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</si>
  <si>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</si>
  <si>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</si>
  <si>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</si>
  <si>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</si>
  <si>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</si>
  <si>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</si>
  <si>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</si>
  <si>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</si>
  <si>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</si>
  <si>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</si>
  <si>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</si>
  <si>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</si>
  <si>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</si>
  <si>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</si>
  <si>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</si>
  <si>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</si>
  <si>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</si>
  <si>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</si>
  <si>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</si>
  <si>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</si>
  <si>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</si>
  <si>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</si>
  <si>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</si>
  <si>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</si>
  <si>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</si>
  <si>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</si>
  <si>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</si>
  <si>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</si>
  <si>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</si>
  <si>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</si>
  <si>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</si>
  <si>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</si>
  <si>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</si>
  <si>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</si>
  <si>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</si>
  <si>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</si>
  <si>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</si>
  <si>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</si>
  <si>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</si>
  <si>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</si>
  <si>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</si>
  <si>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</si>
  <si>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</si>
  <si>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</si>
  <si>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</si>
  <si>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</si>
  <si>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</si>
  <si>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</si>
  <si>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</si>
  <si>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</si>
  <si>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</si>
  <si>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</si>
  <si>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</si>
  <si>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</si>
  <si>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</si>
  <si>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</si>
  <si>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</si>
  <si>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</si>
  <si>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</si>
  <si>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</si>
  <si>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</si>
  <si>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</si>
  <si>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</si>
  <si>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</si>
  <si>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</si>
  <si>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</si>
  <si>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</si>
  <si>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</si>
  <si>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</si>
  <si>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</si>
  <si>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</si>
  <si>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</si>
  <si>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</si>
  <si>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</si>
  <si>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</si>
  <si>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</si>
  <si>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</si>
  <si>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</si>
  <si>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</si>
  <si>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</si>
  <si>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</si>
  <si>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</si>
  <si>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</si>
  <si>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</si>
  <si>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</si>
  <si>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</si>
  <si>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</si>
  <si>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</si>
  <si>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</si>
  <si>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</si>
  <si>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</si>
  <si>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</si>
  <si>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</si>
  <si>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</si>
  <si>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</si>
  <si>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</si>
  <si>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</si>
  <si>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</si>
  <si>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</si>
  <si>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</si>
  <si>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</si>
  <si>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</si>
  <si>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</si>
  <si>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</si>
  <si>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</si>
  <si>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</si>
  <si>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</si>
  <si>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</si>
  <si>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</si>
  <si>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</si>
  <si>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</si>
  <si>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</si>
  <si>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</si>
  <si>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</si>
  <si>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</si>
  <si>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</si>
  <si>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</si>
  <si>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</si>
  <si>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</si>
  <si>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</si>
  <si>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</si>
  <si>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</si>
  <si>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</si>
  <si>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</si>
  <si>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</si>
  <si>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</si>
  <si>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</si>
  <si>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</si>
  <si>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</si>
  <si>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</si>
  <si>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</si>
  <si>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</si>
  <si>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</si>
  <si>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</si>
  <si>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</si>
  <si>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</si>
  <si>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</si>
  <si>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</si>
  <si>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</si>
  <si>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</si>
  <si>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</si>
  <si>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</si>
  <si>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</si>
  <si>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</si>
  <si>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</si>
  <si>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</si>
  <si>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</si>
  <si>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</si>
  <si>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</si>
  <si>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</si>
  <si>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</si>
  <si>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</si>
  <si>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</si>
  <si>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</si>
  <si>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</si>
  <si>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</si>
  <si>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</si>
  <si>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</si>
  <si>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</si>
  <si>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</si>
  <si>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</si>
  <si>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</si>
  <si>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</si>
  <si>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</si>
  <si>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</si>
  <si>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</si>
  <si>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</si>
  <si>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</si>
  <si>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</si>
  <si>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</si>
  <si>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</si>
  <si>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</si>
  <si>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</si>
  <si>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</si>
  <si>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</si>
  <si>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17: Tierhandlung / Pet Shop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</si>
  <si>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</si>
  <si>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</si>
  <si>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</si>
  <si>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</si>
  <si>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</si>
  <si>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</si>
  <si>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</si>
  <si>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</si>
  <si>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</si>
  <si>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</si>
  <si>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</si>
  <si>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</si>
  <si>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</si>
  <si>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</si>
  <si>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</si>
  <si>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</si>
  <si>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</si>
  <si>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</si>
  <si>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</si>
  <si>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</si>
  <si>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</si>
  <si>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</si>
  <si>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101: Versteck / Hideout (S’Angrila)</t>
  </si>
  <si>
    <t>102: Weiser / Wise Man (S’Angrila)</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</si>
  <si>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</si>
  <si>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</si>
  <si>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</si>
  <si>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</si>
  <si>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</si>
  <si>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</si>
  <si>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</si>
  <si>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</si>
  <si>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</si>
  <si>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</si>
  <si>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</si>
  <si>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</si>
  <si>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</si>
  <si>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</si>
  <si>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</si>
  <si>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</si>
  <si>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</si>
  <si>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</si>
  <si>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</si>
  <si>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</si>
  <si>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</si>
  <si>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</si>
  <si>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</si>
  <si>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</si>
  <si>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</si>
  <si>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</si>
  <si>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</si>
  <si>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</si>
  <si>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</si>
  <si>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</si>
  <si>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</si>
  <si>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</si>
  <si>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</si>
  <si>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</si>
  <si>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</si>
  <si>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</si>
  <si>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</si>
  <si>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</si>
  <si>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</si>
  <si>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</si>
  <si>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</si>
  <si>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</si>
  <si>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</si>
  <si>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</si>
  <si>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</si>
  <si>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</si>
  <si>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</si>
  <si>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</si>
  <si>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</si>
  <si>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</si>
  <si>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</si>
  <si>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</si>
  <si>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</si>
  <si>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</si>
  <si>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</si>
  <si>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</si>
  <si>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</si>
  <si>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</si>
  <si>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</si>
  <si>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</si>
  <si>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</si>
  <si>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</si>
  <si>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</si>
  <si>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</si>
  <si>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</si>
  <si>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</si>
  <si>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</si>
  <si>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</si>
  <si>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</si>
  <si>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</si>
  <si>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</si>
  <si>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</si>
  <si>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</si>
  <si>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</si>
  <si>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</si>
  <si>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</si>
  <si>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</si>
  <si>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</si>
  <si>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</si>
  <si>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</si>
  <si>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</si>
  <si>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</si>
  <si>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</si>
  <si>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</si>
  <si>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</si>
  <si>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</si>
  <si>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</si>
  <si>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</si>
  <si>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</si>
  <si>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</si>
  <si>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</si>
  <si>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</si>
  <si>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</si>
  <si>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</si>
  <si>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</si>
  <si>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</si>
  <si>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</si>
  <si>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</si>
  <si>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</si>
  <si>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</si>
  <si>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</si>
  <si>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</si>
  <si>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</si>
  <si>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</si>
  <si>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</si>
  <si>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</si>
  <si>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</si>
  <si>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</si>
  <si>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</si>
  <si>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</si>
  <si>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</si>
  <si>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</si>
  <si>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</si>
  <si>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</si>
  <si>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</si>
  <si>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</si>
  <si>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</si>
  <si>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</si>
  <si>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</si>
  <si>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</si>
  <si>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</si>
  <si>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</si>
  <si>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</si>
  <si>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</si>
  <si>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</si>
  <si>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</si>
  <si>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</si>
  <si>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</si>
  <si>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</si>
  <si>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</si>
  <si>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</si>
  <si>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</si>
  <si>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</si>
  <si>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</si>
  <si>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</si>
  <si>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</si>
  <si>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</si>
  <si>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</si>
  <si>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</si>
  <si>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</si>
  <si>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</si>
  <si>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</si>
  <si>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</si>
  <si>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</si>
  <si>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</si>
  <si>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</si>
  <si>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</si>
  <si>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</si>
  <si>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</si>
  <si>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</si>
  <si>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</si>
  <si>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</si>
  <si>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</si>
  <si>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</si>
  <si>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</si>
  <si>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</si>
  <si>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</si>
  <si>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</si>
  <si>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</si>
  <si>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</si>
  <si>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</si>
  <si>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</si>
  <si>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</si>
  <si>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</si>
  <si>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</si>
  <si>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</si>
  <si>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</si>
  <si>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</si>
  <si>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</si>
  <si>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</si>
  <si>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</si>
  <si>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</si>
  <si>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</si>
  <si>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</si>
  <si>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</si>
  <si>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</si>
  <si>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</si>
  <si>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</si>
  <si>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</si>
  <si>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</si>
  <si>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</si>
  <si>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</si>
  <si>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</si>
  <si>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</si>
  <si>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</si>
  <si>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</si>
  <si>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</si>
  <si>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</si>
  <si>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</si>
  <si>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</si>
  <si>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</si>
  <si>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</si>
  <si>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</si>
  <si>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</si>
  <si>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</si>
  <si>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</si>
  <si>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</si>
  <si>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</si>
  <si>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</si>
  <si>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</si>
  <si>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</si>
  <si>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</si>
  <si>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</si>
  <si>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</si>
  <si>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</si>
  <si>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</si>
  <si>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</si>
  <si>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</si>
  <si>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</si>
  <si>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</si>
  <si>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</si>
  <si>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</si>
  <si>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</si>
  <si>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</si>
  <si>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</si>
  <si>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</si>
  <si>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</si>
  <si>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</si>
  <si>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</si>
  <si>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</si>
  <si>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</si>
  <si>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</si>
  <si>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</si>
  <si>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</si>
  <si>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</si>
  <si>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</si>
  <si>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</si>
  <si>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</si>
  <si>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</si>
  <si>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</si>
  <si>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</si>
  <si>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</si>
  <si>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</si>
  <si>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</si>
  <si>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</si>
  <si>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</si>
  <si>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</si>
  <si>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</si>
  <si>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</si>
  <si>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</si>
  <si>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</si>
  <si>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</si>
  <si>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</si>
  <si>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</si>
  <si>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</si>
  <si>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</si>
  <si>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</si>
  <si>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</si>
  <si>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</si>
  <si>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</si>
  <si>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</si>
  <si>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</si>
  <si>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</si>
  <si>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</si>
  <si>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</si>
  <si>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</si>
  <si>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</si>
  <si>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</si>
  <si>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</si>
  <si>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</si>
  <si>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</si>
  <si>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</si>
  <si>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</si>
  <si>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</si>
  <si>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</si>
  <si>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</si>
  <si>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</si>
  <si>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</si>
  <si>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</si>
  <si>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</si>
  <si>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</si>
  <si>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</si>
  <si>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</si>
  <si>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</si>
  <si>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</si>
  <si>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</si>
  <si>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</si>
  <si>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</si>
  <si>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</si>
  <si>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</si>
  <si>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</si>
  <si>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</si>
  <si>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</si>
  <si>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</si>
  <si>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</si>
  <si>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</si>
  <si>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</si>
  <si>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</si>
  <si>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</si>
  <si>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</si>
  <si>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</si>
  <si>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</si>
  <si>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</si>
  <si>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</si>
  <si>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</si>
  <si>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</si>
  <si>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</si>
  <si>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</si>
  <si>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</si>
  <si>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</si>
  <si>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</si>
  <si>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</si>
  <si>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</si>
  <si>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</si>
  <si>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</si>
  <si>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</si>
  <si>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</si>
  <si>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</si>
  <si>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</si>
  <si>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</si>
  <si>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</si>
  <si>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</si>
  <si>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</si>
  <si>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</si>
  <si>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</si>
  <si>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</si>
  <si>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</si>
  <si>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</si>
  <si>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</si>
  <si>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</si>
  <si>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</si>
  <si>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</si>
  <si>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</si>
  <si>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</si>
  <si>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</si>
  <si>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</si>
  <si>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</si>
  <si>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</si>
  <si>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</si>
  <si>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</si>
  <si>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</si>
  <si>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</si>
  <si>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</si>
  <si>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</si>
  <si>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</si>
  <si>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</si>
  <si>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</si>
  <si>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</si>
  <si>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</si>
  <si>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</si>
  <si>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</si>
  <si>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</si>
  <si>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</si>
  <si>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</si>
  <si>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</si>
  <si>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</si>
  <si>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</si>
  <si>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</si>
  <si>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</si>
  <si>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</si>
  <si>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</si>
  <si>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</si>
  <si>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</si>
  <si>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</si>
  <si>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</si>
  <si>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</si>
  <si>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</si>
  <si>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</si>
  <si>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</si>
  <si>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</si>
  <si>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</si>
  <si>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</si>
  <si>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</si>
  <si>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</si>
  <si>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</si>
  <si>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</si>
  <si>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</si>
  <si>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</si>
  <si>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</si>
  <si>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</si>
  <si>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</si>
  <si>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</si>
  <si>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</si>
  <si>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</si>
  <si>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</si>
  <si>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</si>
  <si>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</si>
  <si>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</si>
  <si>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</si>
  <si>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</si>
  <si>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</si>
  <si>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</si>
  <si>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</si>
  <si>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</si>
  <si>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</si>
  <si>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</si>
  <si>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</si>
  <si>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</si>
  <si>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</si>
  <si>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</si>
  <si>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</si>
  <si>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</si>
  <si>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</si>
  <si>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</si>
  <si>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</si>
  <si>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</si>
  <si>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</si>
  <si>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</si>
  <si>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</si>
  <si>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</si>
  <si>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</si>
  <si>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</si>
  <si>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</si>
  <si>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</si>
  <si>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</si>
  <si>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</si>
  <si>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</si>
  <si>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</si>
  <si>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</si>
  <si>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</si>
  <si>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</si>
  <si>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</si>
  <si>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</si>
  <si>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</si>
  <si>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</si>
  <si>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</si>
  <si>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</si>
  <si>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</si>
  <si>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</si>
  <si>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</si>
  <si>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</si>
  <si>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</si>
  <si>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</si>
  <si>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</si>
  <si>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</si>
  <si>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</si>
  <si>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</si>
  <si>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</si>
  <si>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</si>
  <si>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</si>
  <si>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</si>
  <si>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</si>
  <si>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</si>
  <si>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</si>
  <si>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</si>
  <si>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</si>
  <si>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</si>
  <si>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</si>
  <si>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</si>
  <si>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</si>
  <si>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</si>
  <si>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</si>
  <si>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</si>
  <si>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</si>
  <si>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</si>
  <si>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</si>
  <si>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</si>
  <si>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</si>
  <si>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</si>
  <si>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</si>
  <si>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</si>
  <si>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</si>
  <si>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</si>
  <si>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</si>
  <si>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</si>
  <si>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</si>
  <si>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</si>
  <si>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</si>
  <si>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</si>
  <si>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</si>
  <si>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</si>
  <si>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</si>
  <si>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</si>
  <si>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</si>
  <si>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</si>
  <si>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</si>
  <si>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</si>
  <si>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</si>
  <si>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</si>
  <si>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</si>
  <si>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</si>
  <si>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</si>
  <si>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</si>
  <si>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</si>
  <si>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</si>
  <si>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</si>
  <si>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</si>
  <si>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</si>
  <si>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</si>
  <si>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</si>
  <si>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</si>
  <si>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</si>
  <si>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</si>
  <si>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</si>
  <si>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</si>
  <si>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</si>
  <si>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</si>
  <si>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</si>
  <si>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</si>
  <si>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</si>
  <si>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</si>
  <si>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</si>
  <si>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</si>
  <si>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</si>
  <si>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</si>
  <si>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</si>
  <si>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</si>
  <si>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</si>
  <si>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</si>
  <si>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</si>
  <si>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</si>
  <si>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</si>
  <si>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</si>
  <si>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</si>
  <si>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</si>
  <si>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</si>
  <si>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</si>
  <si>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</si>
  <si>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</si>
  <si>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</si>
  <si>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</si>
  <si>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</si>
  <si>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</si>
  <si>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</si>
  <si>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</si>
  <si>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</si>
  <si>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</si>
  <si>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</si>
  <si>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</si>
  <si>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</si>
  <si>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</si>
  <si>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</si>
  <si>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</si>
  <si>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</si>
  <si>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</si>
  <si>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</si>
  <si>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</si>
  <si>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</si>
  <si>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</si>
  <si>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</si>
  <si>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</si>
  <si>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</si>
  <si>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</si>
  <si>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</si>
  <si>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</si>
  <si>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</si>
  <si>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</si>
  <si>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</si>
  <si>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</si>
  <si>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</si>
  <si>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</si>
  <si>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</si>
  <si>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</si>
  <si>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</si>
  <si>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</si>
  <si>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</si>
  <si>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</si>
  <si>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</si>
  <si>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</si>
  <si>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</si>
  <si>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</si>
  <si>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</si>
  <si>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</si>
  <si>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</si>
  <si>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</si>
  <si>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</si>
  <si>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</si>
  <si>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</si>
  <si>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</si>
  <si>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</si>
  <si>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</si>
  <si>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</si>
  <si>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</si>
  <si>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</si>
  <si>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</si>
  <si>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</si>
  <si>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</si>
  <si>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</si>
  <si>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</si>
  <si>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</si>
  <si>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</si>
  <si>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</si>
  <si>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</si>
  <si>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</si>
  <si>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</si>
  <si>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</si>
  <si>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</si>
  <si>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</si>
  <si>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</si>
  <si>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</si>
  <si>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</si>
  <si>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</si>
  <si>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</si>
  <si>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</si>
  <si>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</si>
  <si>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</si>
  <si>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</si>
  <si>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</si>
  <si>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</si>
  <si>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</si>
  <si>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</si>
  <si>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</si>
  <si>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</si>
  <si>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</si>
  <si>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</si>
  <si>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</si>
  <si>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</si>
  <si>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</si>
  <si>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</si>
  <si>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</si>
  <si>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</si>
  <si>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</si>
  <si>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</si>
  <si>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</si>
  <si>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</si>
  <si>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</si>
  <si>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</si>
  <si>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</si>
  <si>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</si>
  <si>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</si>
  <si>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</si>
  <si>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</si>
  <si>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</si>
  <si>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</si>
  <si>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</si>
  <si>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</si>
  <si>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</si>
  <si>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</si>
  <si>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</si>
  <si>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</si>
  <si>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</si>
  <si>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</si>
  <si>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</si>
  <si>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</si>
  <si>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</si>
  <si>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</si>
  <si>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</si>
  <si>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</si>
  <si>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</si>
  <si>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</si>
  <si>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</si>
  <si>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</si>
  <si>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</si>
  <si>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</si>
  <si>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</si>
  <si>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</si>
  <si>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</si>
  <si>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</si>
  <si>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</si>
  <si>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</si>
  <si>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</si>
  <si>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</si>
  <si>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</si>
  <si>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</si>
  <si>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</si>
  <si>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</si>
  <si>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</si>
  <si>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</si>
  <si>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</si>
  <si>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</si>
  <si>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</si>
  <si>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</si>
  <si>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</si>
  <si>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</si>
  <si>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</si>
  <si>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</si>
  <si>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</si>
  <si>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</si>
  <si>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</si>
  <si>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</si>
  <si>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</si>
  <si>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</si>
  <si>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</si>
  <si>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</si>
  <si>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</si>
  <si>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</si>
  <si>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</si>
  <si>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</si>
  <si>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</si>
  <si>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</si>
  <si>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</si>
  <si>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</si>
  <si>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</si>
  <si>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</si>
  <si>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</si>
  <si>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</si>
  <si>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</si>
  <si>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</si>
  <si>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</si>
  <si>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</si>
  <si>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</si>
  <si>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</si>
  <si>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</si>
  <si>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</si>
  <si>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</si>
  <si>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</si>
  <si>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</si>
  <si>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</si>
  <si>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</si>
  <si>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</si>
  <si>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</si>
  <si>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</si>
  <si>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</si>
  <si>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</si>
  <si>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</si>
  <si>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</si>
  <si>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</si>
  <si>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</si>
  <si>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</si>
  <si>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</si>
  <si>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</si>
  <si>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</si>
  <si>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</si>
  <si>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</si>
  <si>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</si>
  <si>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</si>
  <si>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</si>
  <si>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</si>
  <si>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</si>
  <si>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</si>
  <si>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</si>
  <si>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</si>
  <si>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</si>
  <si>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</si>
  <si>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</si>
  <si>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</si>
  <si>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</si>
  <si>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</si>
  <si>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</si>
  <si>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</si>
  <si>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</si>
  <si>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</si>
  <si>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</si>
  <si>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</si>
  <si>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</si>
  <si>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</si>
  <si>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</si>
  <si>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</si>
  <si>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</si>
  <si>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</si>
  <si>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</si>
  <si>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</si>
  <si>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</si>
  <si>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</si>
  <si>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</si>
  <si>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</si>
  <si>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</si>
  <si>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</si>
  <si>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</si>
  <si>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</si>
  <si>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</si>
  <si>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</si>
  <si>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</si>
  <si>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</si>
  <si>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</si>
  <si>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</si>
  <si>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</si>
  <si>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</si>
  <si>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</si>
  <si>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</si>
  <si>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</si>
  <si>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</si>
  <si>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</si>
  <si>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</si>
  <si>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</si>
  <si>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</si>
  <si>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</si>
  <si>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</si>
  <si>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</si>
  <si>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</si>
  <si>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</si>
  <si>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</si>
  <si>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</si>
  <si>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</si>
  <si>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</si>
  <si>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</si>
  <si>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</si>
  <si>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</si>
  <si>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</si>
  <si>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</si>
  <si>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</si>
  <si>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</si>
  <si>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</si>
  <si>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</si>
  <si>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</si>
  <si>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</si>
  <si>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</si>
  <si>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</si>
  <si>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</si>
  <si>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</si>
  <si>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</si>
  <si>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</si>
  <si>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</si>
  <si>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</si>
  <si>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</si>
  <si>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</si>
  <si>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</si>
  <si>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</si>
  <si>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</si>
  <si>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</si>
  <si>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</si>
  <si>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</si>
  <si>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</si>
  <si>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</si>
  <si>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</si>
  <si>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</si>
  <si>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</si>
  <si>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</si>
  <si>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</si>
  <si>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</si>
  <si>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</si>
  <si>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</si>
  <si>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</si>
  <si>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</si>
  <si>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</si>
  <si>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</si>
  <si>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</si>
  <si>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</si>
  <si>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</si>
  <si>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</si>
  <si>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</si>
  <si>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</si>
  <si>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</si>
  <si>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</si>
  <si>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</si>
  <si>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</si>
  <si>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</si>
  <si>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</si>
  <si>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</si>
  <si>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</si>
  <si>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</si>
  <si>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</si>
  <si>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</si>
  <si>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</si>
  <si>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</si>
  <si>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</si>
  <si>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</si>
  <si>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</si>
  <si>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</si>
  <si>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</si>
  <si>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</si>
  <si>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</si>
  <si>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</si>
  <si>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</si>
  <si>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</si>
  <si>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</si>
  <si>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</si>
  <si>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</si>
  <si>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</si>
  <si>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</si>
  <si>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</si>
  <si>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</si>
  <si>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</si>
  <si>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</si>
  <si>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</si>
  <si>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</si>
  <si>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</si>
  <si>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</si>
  <si>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</si>
  <si>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</si>
  <si>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</si>
  <si>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</si>
  <si>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</si>
  <si>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</si>
  <si>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</si>
  <si>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</si>
  <si>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</si>
  <si>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</si>
  <si>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</si>
  <si>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</si>
  <si>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</si>
  <si>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</si>
  <si>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</si>
  <si>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</si>
  <si>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</si>
  <si>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</si>
  <si>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</si>
  <si>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</si>
  <si>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</si>
  <si>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</si>
  <si>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</si>
  <si>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</si>
  <si>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</si>
  <si>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</si>
  <si>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</si>
  <si>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</si>
  <si>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</si>
  <si>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</si>
  <si>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</si>
  <si>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</si>
  <si>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</si>
  <si>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</si>
  <si>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</si>
  <si>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</si>
  <si>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</si>
  <si>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</si>
  <si>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</si>
  <si>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</si>
  <si>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</si>
  <si>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</si>
  <si>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</si>
  <si>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</si>
  <si>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</si>
  <si>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</si>
  <si>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</si>
  <si>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</si>
  <si>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</si>
  <si>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</si>
  <si>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</si>
  <si>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</si>
  <si>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</si>
  <si>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</si>
  <si>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</si>
  <si>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</si>
  <si>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</si>
  <si>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</si>
  <si>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</si>
  <si>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</si>
  <si>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</si>
  <si>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</si>
  <si>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</si>
  <si>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</si>
  <si>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</si>
  <si>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</si>
  <si>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</si>
  <si>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</si>
  <si>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</si>
  <si>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</si>
  <si>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</si>
  <si>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</si>
  <si>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</si>
  <si>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</si>
  <si>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</si>
  <si>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</si>
  <si>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</si>
  <si>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</si>
  <si>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</si>
  <si>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</si>
  <si>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</si>
  <si>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</si>
  <si>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</si>
  <si>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</si>
  <si>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</si>
  <si>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</si>
  <si>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</si>
  <si>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</si>
  <si>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</si>
  <si>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</si>
  <si>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</si>
  <si>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</si>
  <si>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</si>
  <si>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</si>
  <si>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</si>
  <si>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</si>
  <si>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</si>
  <si>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</si>
  <si>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</si>
  <si>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</si>
  <si>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</si>
  <si>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</si>
  <si>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</si>
  <si>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</si>
  <si>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</si>
  <si>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</si>
  <si>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</si>
  <si>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</si>
  <si>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</si>
  <si>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</si>
  <si>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</si>
  <si>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</si>
  <si>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</si>
  <si>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</si>
  <si>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</si>
  <si>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</si>
  <si>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</si>
  <si>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</si>
  <si>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</si>
  <si>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</si>
  <si>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</si>
  <si>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</si>
  <si>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</si>
  <si>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</si>
  <si>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</si>
  <si>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</si>
  <si>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</si>
  <si>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</si>
  <si>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</si>
  <si>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</si>
  <si>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</si>
  <si>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</si>
  <si>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</si>
  <si>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</si>
  <si>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</si>
  <si>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</si>
  <si>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</si>
  <si>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</si>
  <si>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</si>
  <si>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</si>
  <si>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</si>
  <si>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</si>
  <si>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</si>
  <si>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</si>
  <si>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</si>
  <si>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</si>
  <si>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</si>
  <si>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</si>
  <si>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</si>
  <si>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</si>
  <si>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</si>
  <si>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</si>
  <si>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</si>
  <si>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</si>
  <si>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</si>
  <si>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</si>
  <si>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</si>
  <si>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</si>
  <si>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</si>
  <si>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</si>
  <si>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</si>
  <si>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</si>
  <si>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</si>
  <si>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</si>
  <si>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</si>
  <si>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</si>
  <si>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</si>
  <si>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</si>
  <si>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</si>
  <si>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</si>
  <si>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</si>
  <si>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</si>
  <si>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</si>
  <si>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</si>
  <si>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</si>
  <si>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</si>
  <si>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</si>
  <si>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</si>
  <si>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</si>
  <si>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</si>
  <si>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</si>
  <si>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</si>
  <si>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</si>
  <si>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</si>
  <si>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</si>
  <si>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</si>
  <si>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</si>
  <si>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</si>
  <si>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</si>
  <si>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</si>
  <si>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</si>
  <si>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</si>
  <si>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</si>
  <si>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</si>
  <si>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</si>
  <si>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</si>
  <si>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</si>
  <si>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</si>
  <si>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</si>
  <si>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</si>
  <si>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</si>
  <si>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</si>
  <si>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</si>
  <si>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</si>
  <si>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</si>
  <si>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</si>
  <si>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</si>
  <si>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</si>
  <si>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</si>
  <si>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</si>
  <si>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</si>
  <si>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</si>
  <si>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</si>
  <si>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</si>
  <si>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</si>
  <si>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</si>
  <si>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</si>
  <si>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</si>
  <si>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</si>
  <si>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</si>
  <si>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</si>
  <si>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</si>
  <si>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</si>
  <si>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</si>
  <si>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</si>
  <si>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</si>
  <si>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</si>
  <si>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</si>
  <si>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</si>
  <si>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</si>
  <si>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</si>
  <si>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</si>
  <si>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</si>
  <si>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</si>
  <si>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</si>
  <si>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</si>
  <si>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</si>
  <si>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</si>
  <si>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</si>
  <si>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</si>
  <si>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</si>
  <si>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</si>
  <si>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</si>
  <si>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</si>
  <si>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</si>
  <si>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</si>
  <si>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</si>
  <si>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</si>
  <si>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</si>
  <si>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</si>
  <si>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</si>
  <si>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</si>
  <si>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</si>
  <si>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</si>
  <si>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</si>
  <si>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</si>
  <si>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</si>
  <si>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</si>
  <si>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</si>
  <si>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</si>
  <si>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</si>
  <si>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</si>
  <si>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</si>
  <si>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</si>
  <si>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</si>
  <si>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</si>
  <si>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</si>
  <si>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</si>
  <si>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</si>
  <si>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</si>
  <si>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</si>
  <si>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</si>
  <si>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</si>
  <si>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</si>
  <si>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</si>
  <si>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</si>
  <si>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</si>
  <si>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</si>
  <si>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</si>
  <si>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</si>
  <si>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</si>
  <si>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</si>
  <si>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</si>
  <si>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</si>
  <si>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</si>
  <si>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</si>
  <si>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</si>
  <si>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</si>
  <si>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</si>
  <si>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</si>
  <si>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</si>
  <si>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</si>
  <si>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</si>
  <si>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</si>
  <si>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</si>
  <si>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</si>
  <si>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</si>
  <si>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</si>
  <si>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</si>
  <si>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</si>
  <si>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</si>
  <si>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</si>
  <si>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</si>
  <si>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</si>
  <si>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</si>
  <si>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</si>
  <si>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</si>
  <si>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</si>
  <si>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</si>
  <si>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</si>
  <si>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</si>
  <si>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</si>
  <si>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</si>
  <si>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</si>
  <si>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</si>
  <si>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</si>
  <si>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</si>
  <si>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</si>
  <si>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</si>
  <si>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</si>
  <si>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</si>
  <si>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</si>
  <si>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</si>
  <si>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</si>
  <si>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</si>
  <si>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</si>
  <si>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</si>
  <si>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</si>
  <si>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</si>
  <si>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</si>
  <si>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</si>
  <si>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</si>
  <si>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</si>
  <si>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</si>
  <si>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</si>
  <si>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</si>
  <si>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</si>
  <si>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</si>
  <si>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</si>
  <si>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</si>
  <si>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</si>
  <si>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</si>
  <si>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</si>
  <si>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</si>
  <si>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</si>
  <si>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</si>
  <si>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</si>
  <si>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</si>
  <si>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</si>
  <si>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</si>
  <si>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</si>
  <si>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</si>
  <si>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</si>
  <si>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</si>
  <si>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</si>
  <si>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</si>
  <si>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</si>
  <si>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</si>
  <si>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</si>
  <si>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</si>
  <si>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</si>
  <si>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</si>
  <si>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</si>
  <si>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</si>
  <si>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</si>
  <si>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</si>
  <si>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</si>
  <si>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</si>
  <si>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</si>
  <si>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</si>
  <si>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</si>
  <si>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</si>
  <si>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</si>
  <si>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</si>
  <si>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</si>
  <si>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</si>
  <si>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</si>
  <si>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</si>
  <si>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</si>
  <si>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</si>
  <si>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</si>
  <si>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</si>
  <si>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</si>
  <si>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</si>
  <si>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</si>
  <si>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</si>
  <si>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</si>
  <si>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</si>
  <si>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</si>
  <si>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</si>
  <si>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</si>
  <si>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</si>
  <si>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</si>
  <si>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</si>
  <si>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</si>
  <si>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</si>
  <si>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</si>
  <si>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</si>
  <si>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</si>
  <si>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</si>
  <si>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</si>
  <si>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</si>
  <si>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</si>
  <si>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</si>
  <si>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</si>
  <si>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</si>
  <si>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</si>
  <si>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</si>
  <si>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</si>
  <si>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</si>
  <si>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</si>
  <si>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</si>
  <si>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</si>
  <si>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</si>
  <si>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</si>
  <si>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</si>
  <si>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</si>
  <si>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</si>
  <si>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</si>
  <si>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</si>
  <si>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</si>
  <si>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</si>
  <si>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</si>
  <si>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</si>
  <si>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</si>
  <si>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</si>
  <si>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</si>
  <si>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</si>
  <si>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</si>
  <si>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</si>
  <si>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</si>
  <si>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</si>
  <si>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</si>
  <si>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</si>
  <si>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</si>
  <si>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</si>
  <si>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</si>
  <si>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</si>
  <si>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</si>
  <si>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</si>
  <si>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</si>
  <si>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</si>
  <si>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</si>
  <si>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</si>
  <si>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</si>
  <si>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</si>
  <si>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</si>
  <si>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</si>
  <si>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</si>
  <si>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</si>
  <si>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</si>
  <si>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</si>
  <si>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</si>
  <si>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</si>
  <si>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</si>
  <si>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</si>
  <si>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</si>
  <si>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</si>
  <si>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</si>
  <si>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</si>
  <si>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</si>
  <si>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</si>
  <si>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</si>
  <si>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</si>
  <si>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</si>
  <si>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</si>
  <si>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</si>
  <si>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</si>
  <si>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</si>
  <si>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</si>
  <si>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</si>
  <si>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</si>
  <si>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</si>
  <si>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</si>
  <si>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</si>
  <si>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</si>
  <si>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</si>
  <si>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</si>
  <si>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</si>
  <si>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</si>
  <si>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</si>
  <si>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</si>
  <si>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</si>
  <si>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</si>
  <si>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</si>
  <si>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</si>
  <si>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</si>
  <si>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</si>
  <si>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</si>
  <si>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</si>
  <si>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</si>
  <si>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</si>
  <si>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</si>
  <si>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</si>
  <si>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</si>
  <si>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</si>
  <si>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</si>
  <si>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</si>
  <si>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</si>
  <si>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</si>
  <si>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</si>
  <si>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</si>
  <si>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</si>
  <si>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</si>
  <si>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</si>
  <si>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</si>
  <si>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</si>
  <si>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</si>
  <si>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</si>
  <si>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</si>
  <si>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</si>
  <si>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</si>
  <si>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</si>
  <si>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</si>
  <si>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</si>
  <si>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</si>
  <si>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</si>
  <si>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</si>
  <si>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</si>
  <si>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</si>
  <si>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</si>
  <si>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</si>
  <si>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</si>
  <si>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</si>
  <si>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</si>
  <si>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</si>
  <si>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</si>
  <si>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</si>
  <si>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</si>
  <si>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</si>
  <si>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</si>
  <si>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</si>
  <si>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</si>
  <si>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</si>
  <si>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</si>
  <si>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</si>
  <si>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</si>
  <si>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</si>
  <si>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</si>
  <si>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</si>
  <si>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</si>
  <si>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</si>
  <si>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</si>
  <si>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</si>
  <si>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</si>
  <si>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</si>
  <si>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</si>
  <si>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</si>
  <si>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</si>
  <si>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</si>
  <si>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</si>
  <si>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</si>
  <si>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</si>
  <si>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</si>
  <si>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</si>
  <si>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</si>
  <si>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</si>
  <si>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</si>
  <si>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</si>
  <si>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</si>
  <si>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</si>
  <si>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</si>
  <si>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</si>
  <si>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</si>
  <si>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</si>
  <si>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</si>
  <si>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</si>
  <si>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</si>
  <si>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</si>
  <si>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</si>
  <si>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</si>
  <si>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</si>
  <si>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</si>
  <si>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</si>
  <si>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</si>
  <si>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</si>
  <si>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</si>
  <si>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</si>
  <si>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</si>
  <si>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</si>
  <si>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</si>
  <si>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</si>
  <si>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</si>
  <si>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</si>
  <si>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</si>
  <si>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</si>
  <si>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</si>
  <si>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</si>
  <si>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</si>
  <si>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</si>
  <si>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</si>
  <si>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</si>
  <si>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</si>
  <si>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</si>
  <si>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</si>
  <si>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</si>
  <si>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</si>
  <si>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</si>
  <si>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</si>
  <si>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</si>
  <si>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</si>
  <si>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</si>
  <si>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</si>
  <si>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</si>
  <si>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</si>
  <si>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</si>
  <si>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</si>
  <si>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</si>
  <si>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</si>
  <si>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</si>
  <si>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</si>
  <si>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</si>
  <si>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</si>
  <si>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</si>
  <si>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</si>
  <si>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</si>
  <si>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</si>
  <si>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</si>
  <si>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</si>
  <si>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</si>
  <si>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</si>
  <si>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</si>
  <si>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</si>
  <si>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</si>
  <si>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</si>
  <si>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</si>
  <si>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</si>
  <si>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</si>
  <si>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</si>
  <si>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</si>
  <si>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</si>
  <si>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</si>
  <si>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</si>
  <si>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</si>
  <si>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</si>
  <si>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</si>
  <si>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</si>
  <si>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</si>
  <si>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</si>
  <si>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</si>
  <si>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</si>
  <si>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</si>
  <si>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</si>
  <si>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</si>
  <si>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</si>
  <si>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</si>
  <si>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</si>
  <si>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</si>
  <si>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</si>
  <si>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</si>
  <si>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</si>
  <si>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</si>
  <si>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</si>
  <si>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</si>
  <si>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</si>
  <si>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</si>
  <si>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</si>
  <si>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</si>
  <si>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</si>
  <si>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</si>
  <si>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</si>
  <si>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</si>
  <si>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</si>
  <si>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</si>
  <si>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</si>
  <si>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</si>
  <si>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</si>
  <si>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</si>
  <si>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</si>
  <si>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</si>
  <si>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</si>
  <si>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</si>
  <si>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</si>
  <si>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</si>
  <si>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</si>
  <si>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</si>
  <si>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</si>
  <si>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</si>
  <si>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</si>
  <si>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</si>
  <si>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</si>
  <si>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</si>
  <si>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</si>
  <si>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</si>
  <si>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</si>
  <si>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</si>
  <si>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</si>
  <si>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</si>
  <si>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</si>
  <si>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</si>
  <si>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</si>
  <si>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</si>
  <si>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</si>
  <si>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</si>
  <si>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</si>
  <si>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</si>
  <si>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</si>
  <si>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</si>
  <si>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</si>
  <si>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</si>
  <si>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</si>
  <si>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</si>
  <si>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</si>
  <si>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</si>
  <si>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</si>
  <si>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</si>
  <si>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</si>
  <si>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</si>
  <si>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</si>
  <si>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</si>
  <si>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</si>
  <si>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</si>
  <si>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</si>
  <si>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</si>
  <si>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</si>
  <si>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</si>
  <si>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</si>
  <si>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</si>
  <si>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</si>
  <si>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</si>
  <si>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</si>
  <si>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</si>
  <si>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</si>
  <si>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</si>
  <si>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</si>
  <si>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</si>
  <si>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</si>
  <si>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</si>
  <si>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</si>
  <si>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</si>
  <si>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</si>
  <si>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</si>
  <si>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</si>
  <si>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</si>
  <si>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</si>
  <si>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</si>
  <si>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</si>
  <si>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</si>
  <si>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</si>
  <si>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</si>
  <si>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</si>
  <si>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</si>
  <si>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</si>
  <si>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</si>
  <si>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</si>
  <si>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</si>
  <si>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</si>
  <si>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</si>
  <si>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</si>
  <si>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</si>
  <si>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</si>
  <si>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</si>
  <si>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</si>
  <si>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</si>
  <si>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</si>
  <si>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</si>
  <si>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</si>
  <si>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</si>
  <si>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</si>
  <si>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</si>
  <si>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</si>
  <si>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</si>
  <si>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</si>
  <si>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</si>
  <si>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</si>
  <si>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</si>
  <si>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</si>
  <si>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</si>
  <si>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</si>
  <si>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</si>
  <si>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</si>
  <si>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</si>
  <si>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</si>
  <si>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</si>
  <si>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</si>
  <si>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</si>
  <si>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</si>
  <si>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</si>
  <si>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</si>
  <si>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</si>
  <si>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</si>
  <si>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</si>
  <si>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</si>
  <si>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</si>
  <si>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</si>
  <si>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</si>
  <si>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</si>
  <si>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</si>
  <si>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</si>
  <si>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</si>
  <si>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</si>
  <si>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</si>
  <si>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</si>
  <si>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</si>
  <si>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</si>
  <si>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</si>
  <si>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</si>
  <si>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</si>
  <si>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</si>
  <si>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</si>
  <si>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</si>
  <si>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</si>
  <si>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</si>
  <si>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</si>
  <si>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</si>
  <si>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</si>
  <si>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</si>
  <si>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</si>
  <si>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</si>
  <si>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</si>
  <si>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</si>
  <si>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</si>
  <si>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</si>
  <si>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</si>
  <si>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</si>
  <si>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</si>
  <si>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</si>
  <si>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</si>
  <si>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</si>
  <si>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</si>
  <si>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</si>
  <si>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</si>
  <si>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</si>
  <si>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</si>
  <si>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</si>
  <si>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</si>
  <si>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</si>
  <si>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</si>
  <si>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</si>
  <si>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</si>
  <si>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</si>
  <si>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</si>
  <si>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</si>
  <si>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</si>
  <si>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</si>
  <si>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</si>
  <si>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</si>
  <si>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</si>
  <si>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</si>
  <si>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</si>
  <si>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</si>
  <si>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</si>
  <si>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</si>
  <si>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</si>
  <si>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</si>
  <si>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</si>
  <si>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</si>
  <si>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</si>
  <si>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</si>
  <si>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</si>
  <si>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</si>
  <si>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</si>
  <si>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</si>
  <si>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</si>
  <si>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</si>
  <si>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</si>
  <si>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</si>
  <si>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</si>
  <si>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</si>
  <si>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</si>
  <si>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</si>
  <si>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</si>
  <si>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</si>
  <si>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</si>
  <si>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</si>
  <si>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</si>
  <si>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</si>
  <si>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</si>
  <si>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</si>
  <si>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</si>
  <si>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</si>
  <si>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</si>
  <si>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</si>
  <si>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</si>
  <si>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</si>
  <si>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</si>
  <si>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</si>
  <si>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</si>
  <si>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</si>
  <si>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</si>
  <si>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</si>
  <si>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</si>
  <si>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</si>
  <si>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</si>
  <si>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</si>
  <si>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</si>
  <si>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</si>
  <si>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</si>
  <si>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</si>
  <si>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Sandteufel/Echsen</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</si>
  <si>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</si>
  <si>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</si>
  <si>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</si>
  <si>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</si>
  <si>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</si>
  <si>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</si>
  <si>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</si>
  <si>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</si>
  <si>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</si>
  <si>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</si>
  <si>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</si>
  <si>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</si>
  <si>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</si>
  <si>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Buchstaben die man auf geschlossene Wandfächer anwendet gehen verloren  [erledigt 06.10.: Else-Zweige in Map 484 (Events 173/242/263/291/310) geben den Buchstaben jetzt zurück]</t>
  </si>
  <si>
    <t>Bossräume 2/3 in Map 484 nutzten die Gruppen 167/168 (Luftschiff-Monster). Jetzt Platzhalter-Gruppen 170/171 (Antiker Wächter). Beim Bauen der echten Bosse nur Gruppen 170/171 anpassen.</t>
  </si>
  <si>
    <t>Teleports in die alte Stadt fehlen teilweise  [erledigt 06.10.: Eingänge NO/SO/S/SW/NW (Ketten 6-10 auf Map 522) waren im Savegame deaktiviert und wurden nie freigeschaltet. Jetzt beim Auftauchen und zusätzlich beim Betreten über Nord (repariert alte Spielstände)]</t>
  </si>
  <si>
    <t>Luminors Turm 5 (Map 298): fehlender Text #9 ergänzt (DE importiert, EN nur AllTexts). Altes Problem, evtl. auch als Bugfix für 1.33 auf main übernehmen.</t>
  </si>
  <si>
    <t>Datenprüfung: tools/ambtools/validate.py nach jeder Datenänderung laufen lassen (aktuell keine Fehler).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</si>
</sst>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1"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
      <strike/>
      <sz val="11"/>
      <color rgb="FF000000"/>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2">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0" fillId="0" borderId="0" xfId="0" applyFont="1"/>
    <xf numFmtId="0" fontId="0" fillId="3" borderId="1" xfId="0" applyFill="1" applyBorder="1" applyAlignment="1">
      <alignment horizontal="center"/>
    </xf>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7" xfId="1" applyBorder="1" applyAlignment="1" applyProtection="1">
      <alignment horizontal="left"/>
    </xf>
    <xf numFmtId="0" fontId="0" fillId="0" borderId="21" xfId="0" applyBorder="1" applyAlignment="1">
      <alignment horizontal="left"/>
    </xf>
    <xf numFmtId="0" fontId="1" fillId="0" borderId="21" xfId="0" applyFont="1" applyBorder="1" applyAlignment="1">
      <alignment horizontal="left"/>
    </xf>
    <xf numFmtId="0" fontId="4" fillId="2" borderId="21" xfId="1" applyBorder="1" applyAlignment="1" applyProtection="1">
      <alignment horizontal="center"/>
    </xf>
    <xf numFmtId="0" fontId="1" fillId="3" borderId="2" xfId="0" applyFont="1" applyFill="1" applyBorder="1" applyAlignment="1">
      <alignment horizontal="center" vertical="center"/>
    </xf>
    <xf numFmtId="0" fontId="0" fillId="3" borderId="0" xfId="0" applyFill="1" applyAlignment="1">
      <alignment horizontal="center" vertical="center"/>
    </xf>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70" t="s">
        <v>0</v>
      </c>
      <c r="B1" s="70"/>
      <c r="E1" s="70" t="s">
        <v>1</v>
      </c>
      <c r="F1" s="70"/>
      <c r="I1" s="70" t="s">
        <v>2</v>
      </c>
      <c r="J1" s="70"/>
      <c r="M1" s="70" t="s">
        <v>3</v>
      </c>
      <c r="N1" s="70"/>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70" t="s">
        <v>11</v>
      </c>
      <c r="B21" s="70"/>
      <c r="E21" s="70" t="s">
        <v>12</v>
      </c>
      <c r="F21" s="70"/>
      <c r="I21" s="70" t="s">
        <v>13</v>
      </c>
      <c r="J21" s="70"/>
      <c r="M21" s="70" t="s">
        <v>14</v>
      </c>
      <c r="N21" s="70"/>
      <c r="Q21" s="70" t="s">
        <v>15</v>
      </c>
      <c r="R21" s="70"/>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14"/>
  <sheetViews>
    <sheetView zoomScaleNormal="100" workbookViewId="0">
      <selection activeCell="A26" sqref="A26"/>
    </sheetView>
  </sheetViews>
  <sheetFormatPr baseColWidth="10" defaultColWidth="11.7109375" defaultRowHeight="15" x14ac:dyDescent="0.25"/>
  <sheetData>
    <row r="1" spans="1:2" x14ac:dyDescent="0.25">
      <c r="A1" t="s">
        <v>47</v>
      </c>
    </row>
    <row r="2" spans="1:2" x14ac:dyDescent="0.25">
      <c r="B2" t="s">
        <v>48</v>
      </c>
    </row>
    <row r="3" spans="1:2" x14ac:dyDescent="0.25">
      <c r="A3" t="s">
        <v>49</v>
      </c>
    </row>
    <row r="4" spans="1:2" x14ac:dyDescent="0.25">
      <c r="B4" t="s">
        <v>50</v>
      </c>
    </row>
    <row r="6" spans="1:2" x14ac:dyDescent="0.25">
      <c r="A6" t="s">
        <v>51</v>
      </c>
    </row>
    <row r="8" spans="1:2" x14ac:dyDescent="0.25">
      <c r="A8" s="4" t="s">
        <v>52</v>
      </c>
    </row>
    <row r="9" spans="1:2" x14ac:dyDescent="0.25">
      <c r="A9" t="s">
        <v>53</v>
      </c>
    </row>
    <row r="10" spans="1:2" x14ac:dyDescent="0.25">
      <c r="A10" t="s">
        <v>54</v>
      </c>
    </row>
    <row r="11" spans="1:2" x14ac:dyDescent="0.25">
      <c r="A11" t="s">
        <v>55</v>
      </c>
    </row>
    <row r="12" spans="1:2" x14ac:dyDescent="0.25">
      <c r="A12" s="4"/>
    </row>
    <row r="13" spans="1:2" x14ac:dyDescent="0.25">
      <c r="A13" t="s">
        <v>56</v>
      </c>
    </row>
    <row r="14" spans="1:2" x14ac:dyDescent="0.25">
      <c r="A14" t="s">
        <v>57</v>
      </c>
    </row>
    <row r="16" spans="1:2" x14ac:dyDescent="0.25">
      <c r="A16" s="4" t="s">
        <v>58</v>
      </c>
    </row>
    <row r="17" spans="1:1" x14ac:dyDescent="0.25">
      <c r="A17" s="10" t="s">
        <v>2234</v>
      </c>
    </row>
    <row r="18" spans="1:1" x14ac:dyDescent="0.25">
      <c r="A18" s="10" t="s">
        <v>2235</v>
      </c>
    </row>
    <row r="19" spans="1:1" x14ac:dyDescent="0.25">
      <c r="A19" s="10" t="s">
        <v>2232</v>
      </c>
    </row>
    <row r="20" spans="1:1" x14ac:dyDescent="0.25">
      <c r="A20" t="s">
        <v>59</v>
      </c>
    </row>
    <row r="21" spans="1:1" x14ac:dyDescent="0.25">
      <c r="A21" t="s">
        <v>60</v>
      </c>
    </row>
    <row r="22" spans="1:1" x14ac:dyDescent="0.25">
      <c r="A22" t="s">
        <v>61</v>
      </c>
    </row>
    <row r="23" spans="1:1" x14ac:dyDescent="0.25">
      <c r="A23" t="s">
        <v>62</v>
      </c>
    </row>
    <row r="24" spans="1:1" x14ac:dyDescent="0.25">
      <c r="A24" t="s">
        <v>63</v>
      </c>
    </row>
    <row r="26" spans="1:1" x14ac:dyDescent="0.25">
      <c r="A26" s="68" t="s">
        <v>2231</v>
      </c>
    </row>
    <row r="27" spans="1:1" x14ac:dyDescent="0.25">
      <c r="A27" s="68" t="s">
        <v>2233</v>
      </c>
    </row>
    <row r="28" spans="1:1" x14ac:dyDescent="0.25">
      <c r="A28" t="s">
        <v>64</v>
      </c>
    </row>
    <row r="31" spans="1:1" x14ac:dyDescent="0.25">
      <c r="A31" t="s">
        <v>65</v>
      </c>
    </row>
    <row r="32" spans="1:1" x14ac:dyDescent="0.25">
      <c r="A32" t="s">
        <v>66</v>
      </c>
    </row>
    <row r="34" spans="1:1" x14ac:dyDescent="0.25">
      <c r="A34" t="s">
        <v>67</v>
      </c>
    </row>
    <row r="35" spans="1:1" x14ac:dyDescent="0.25">
      <c r="A35" t="s">
        <v>68</v>
      </c>
    </row>
    <row r="36" spans="1:1" x14ac:dyDescent="0.25">
      <c r="A36" t="s">
        <v>69</v>
      </c>
    </row>
    <row r="38" spans="1:1" x14ac:dyDescent="0.25">
      <c r="A38" t="s">
        <v>70</v>
      </c>
    </row>
    <row r="40" spans="1:1" x14ac:dyDescent="0.25">
      <c r="A40" t="s">
        <v>71</v>
      </c>
    </row>
    <row r="41" spans="1:1" x14ac:dyDescent="0.25">
      <c r="A41" t="s">
        <v>72</v>
      </c>
    </row>
    <row r="42" spans="1:1" x14ac:dyDescent="0.25">
      <c r="A42" t="s">
        <v>73</v>
      </c>
    </row>
    <row r="43" spans="1:1" x14ac:dyDescent="0.25">
      <c r="A43" t="s">
        <v>74</v>
      </c>
    </row>
    <row r="44" spans="1:1" x14ac:dyDescent="0.25">
      <c r="A44" t="s">
        <v>75</v>
      </c>
    </row>
    <row r="45" spans="1:1" x14ac:dyDescent="0.25">
      <c r="A45" t="s">
        <v>76</v>
      </c>
    </row>
    <row r="47" spans="1:1" x14ac:dyDescent="0.25">
      <c r="A47" t="s">
        <v>77</v>
      </c>
    </row>
    <row r="48" spans="1:1" x14ac:dyDescent="0.25">
      <c r="A48" t="s">
        <v>78</v>
      </c>
    </row>
    <row r="49" spans="1:1" x14ac:dyDescent="0.25">
      <c r="A49" t="s">
        <v>79</v>
      </c>
    </row>
    <row r="50" spans="1:1" x14ac:dyDescent="0.25">
      <c r="A50" t="s">
        <v>80</v>
      </c>
    </row>
    <row r="51" spans="1:1" x14ac:dyDescent="0.25">
      <c r="A51" t="s">
        <v>81</v>
      </c>
    </row>
    <row r="52" spans="1:1" x14ac:dyDescent="0.25">
      <c r="A52" s="4" t="s">
        <v>26</v>
      </c>
    </row>
    <row r="53" spans="1:1" ht="13.35" customHeight="1" x14ac:dyDescent="0.25">
      <c r="A53" t="s">
        <v>82</v>
      </c>
    </row>
    <row r="54" spans="1:1" x14ac:dyDescent="0.25">
      <c r="A54" t="s">
        <v>83</v>
      </c>
    </row>
    <row r="55" spans="1:1" x14ac:dyDescent="0.25">
      <c r="A55" t="s">
        <v>84</v>
      </c>
    </row>
    <row r="57" spans="1:1" x14ac:dyDescent="0.25">
      <c r="A57" t="s">
        <v>85</v>
      </c>
    </row>
    <row r="58" spans="1:1" x14ac:dyDescent="0.25">
      <c r="A58" t="s">
        <v>86</v>
      </c>
    </row>
    <row r="59" spans="1:1" x14ac:dyDescent="0.25">
      <c r="A59" t="s">
        <v>87</v>
      </c>
    </row>
    <row r="60" spans="1:1" x14ac:dyDescent="0.25">
      <c r="A60" t="s">
        <v>88</v>
      </c>
    </row>
    <row r="61" spans="1:1" x14ac:dyDescent="0.25">
      <c r="A61" t="s">
        <v>89</v>
      </c>
    </row>
    <row r="62" spans="1:1" x14ac:dyDescent="0.25">
      <c r="A62" t="s">
        <v>90</v>
      </c>
    </row>
    <row r="63" spans="1:1" x14ac:dyDescent="0.25">
      <c r="A63" t="s">
        <v>91</v>
      </c>
    </row>
    <row r="64" spans="1:1" x14ac:dyDescent="0.25">
      <c r="A64" t="s">
        <v>92</v>
      </c>
    </row>
    <row r="65" spans="1:1" x14ac:dyDescent="0.25">
      <c r="A65" t="s">
        <v>93</v>
      </c>
    </row>
    <row r="66" spans="1:1" x14ac:dyDescent="0.25">
      <c r="A66" t="s">
        <v>94</v>
      </c>
    </row>
    <row r="68" spans="1:1" x14ac:dyDescent="0.25">
      <c r="A68" t="s">
        <v>95</v>
      </c>
    </row>
    <row r="69" spans="1:1" x14ac:dyDescent="0.25">
      <c r="A69" t="s">
        <v>96</v>
      </c>
    </row>
    <row r="70" spans="1:1" x14ac:dyDescent="0.25">
      <c r="A70" t="s">
        <v>97</v>
      </c>
    </row>
    <row r="72" spans="1:1" x14ac:dyDescent="0.25">
      <c r="A72" t="s">
        <v>98</v>
      </c>
    </row>
    <row r="74" spans="1:1" x14ac:dyDescent="0.25">
      <c r="A74" t="s">
        <v>99</v>
      </c>
    </row>
    <row r="75" spans="1:1" x14ac:dyDescent="0.25">
      <c r="A75" t="s">
        <v>100</v>
      </c>
    </row>
    <row r="78" spans="1:1" x14ac:dyDescent="0.25">
      <c r="A78" t="s">
        <v>101</v>
      </c>
    </row>
    <row r="79" spans="1:1" x14ac:dyDescent="0.25">
      <c r="A79" t="s">
        <v>102</v>
      </c>
    </row>
    <row r="80" spans="1:1" x14ac:dyDescent="0.25">
      <c r="A80" s="4" t="s">
        <v>103</v>
      </c>
    </row>
    <row r="81" spans="1:1" x14ac:dyDescent="0.25">
      <c r="A81" t="s">
        <v>104</v>
      </c>
    </row>
    <row r="82" spans="1:1" x14ac:dyDescent="0.25">
      <c r="A82" t="s">
        <v>105</v>
      </c>
    </row>
    <row r="83" spans="1:1" x14ac:dyDescent="0.25">
      <c r="A83" t="s">
        <v>106</v>
      </c>
    </row>
    <row r="84" spans="1:1" x14ac:dyDescent="0.25">
      <c r="A84" t="s">
        <v>107</v>
      </c>
    </row>
    <row r="86" spans="1:1" x14ac:dyDescent="0.25">
      <c r="A86" t="s">
        <v>108</v>
      </c>
    </row>
    <row r="87" spans="1:1" x14ac:dyDescent="0.25">
      <c r="A87" t="s">
        <v>109</v>
      </c>
    </row>
    <row r="88" spans="1:1" x14ac:dyDescent="0.25">
      <c r="A88" t="s">
        <v>110</v>
      </c>
    </row>
    <row r="89" spans="1:1" x14ac:dyDescent="0.25">
      <c r="A89" t="s">
        <v>111</v>
      </c>
    </row>
    <row r="90" spans="1:1" x14ac:dyDescent="0.25">
      <c r="A90" t="s">
        <v>112</v>
      </c>
    </row>
    <row r="91" spans="1:1" x14ac:dyDescent="0.25">
      <c r="A91" t="s">
        <v>113</v>
      </c>
    </row>
    <row r="92" spans="1:1" x14ac:dyDescent="0.25">
      <c r="A92" t="s">
        <v>114</v>
      </c>
    </row>
    <row r="94" spans="1:1" x14ac:dyDescent="0.25">
      <c r="A94" t="s">
        <v>115</v>
      </c>
    </row>
    <row r="96" spans="1:1" x14ac:dyDescent="0.25">
      <c r="A96" s="4" t="s">
        <v>116</v>
      </c>
    </row>
    <row r="97" spans="1:1" x14ac:dyDescent="0.25">
      <c r="A97" t="s">
        <v>117</v>
      </c>
    </row>
    <row r="98" spans="1:1" x14ac:dyDescent="0.25">
      <c r="A98" t="s">
        <v>118</v>
      </c>
    </row>
    <row r="99" spans="1:1" x14ac:dyDescent="0.25">
      <c r="A99" t="s">
        <v>119</v>
      </c>
    </row>
    <row r="100" spans="1:1" x14ac:dyDescent="0.25">
      <c r="A100" t="s">
        <v>120</v>
      </c>
    </row>
    <row r="101" spans="1:1" x14ac:dyDescent="0.25">
      <c r="A101" t="s">
        <v>121</v>
      </c>
    </row>
    <row r="102" spans="1:1" x14ac:dyDescent="0.25">
      <c r="A102" t="s">
        <v>122</v>
      </c>
    </row>
    <row r="103" spans="1:1" x14ac:dyDescent="0.25">
      <c r="A103" t="s">
        <v>123</v>
      </c>
    </row>
    <row r="104" spans="1:1" x14ac:dyDescent="0.25">
      <c r="A104" t="s">
        <v>124</v>
      </c>
    </row>
    <row r="105" spans="1:1" x14ac:dyDescent="0.25">
      <c r="A105" t="s">
        <v>125</v>
      </c>
    </row>
    <row r="106" spans="1:1" x14ac:dyDescent="0.25">
      <c r="A106" t="s">
        <v>126</v>
      </c>
    </row>
    <row r="107" spans="1:1" x14ac:dyDescent="0.25">
      <c r="A107" t="s">
        <v>127</v>
      </c>
    </row>
    <row r="108" spans="1:1" x14ac:dyDescent="0.25">
      <c r="A108" t="s">
        <v>128</v>
      </c>
    </row>
    <row r="109" spans="1:1" x14ac:dyDescent="0.25">
      <c r="A109" t="s">
        <v>129</v>
      </c>
    </row>
    <row r="111" spans="1:1" x14ac:dyDescent="0.25">
      <c r="A111" s="4" t="s">
        <v>130</v>
      </c>
    </row>
    <row r="113" spans="1:1" x14ac:dyDescent="0.25">
      <c r="A113" t="s">
        <v>131</v>
      </c>
    </row>
    <row r="114" spans="1:1" x14ac:dyDescent="0.25">
      <c r="A114" t="s">
        <v>132</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3"/>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133</v>
      </c>
    </row>
    <row r="2" spans="1:4" x14ac:dyDescent="0.25">
      <c r="A2" t="s">
        <v>134</v>
      </c>
    </row>
    <row r="4" spans="1:4" x14ac:dyDescent="0.25">
      <c r="A4" s="5" t="s">
        <v>135</v>
      </c>
      <c r="C4" s="71" t="s">
        <v>136</v>
      </c>
      <c r="D4" s="71"/>
    </row>
    <row r="5" spans="1:4" x14ac:dyDescent="0.25">
      <c r="A5" t="s">
        <v>137</v>
      </c>
      <c r="C5" t="s">
        <v>138</v>
      </c>
      <c r="D5" t="s">
        <v>139</v>
      </c>
    </row>
    <row r="6" spans="1:4" x14ac:dyDescent="0.25">
      <c r="A6" t="s">
        <v>140</v>
      </c>
    </row>
    <row r="7" spans="1:4" x14ac:dyDescent="0.25">
      <c r="A7" t="s">
        <v>141</v>
      </c>
    </row>
    <row r="8" spans="1:4" x14ac:dyDescent="0.25">
      <c r="A8" t="s">
        <v>142</v>
      </c>
    </row>
    <row r="9" spans="1:4" x14ac:dyDescent="0.25">
      <c r="A9" t="s">
        <v>143</v>
      </c>
    </row>
    <row r="10" spans="1:4" x14ac:dyDescent="0.25">
      <c r="A10" t="s">
        <v>144</v>
      </c>
    </row>
    <row r="11" spans="1:4" x14ac:dyDescent="0.25">
      <c r="A11" t="s">
        <v>145</v>
      </c>
      <c r="C11" s="71" t="s">
        <v>146</v>
      </c>
      <c r="D11" s="71"/>
    </row>
    <row r="12" spans="1:4" x14ac:dyDescent="0.25">
      <c r="A12" t="s">
        <v>147</v>
      </c>
      <c r="C12" t="s">
        <v>148</v>
      </c>
    </row>
    <row r="13" spans="1:4" x14ac:dyDescent="0.25">
      <c r="A13" t="s">
        <v>149</v>
      </c>
    </row>
    <row r="14" spans="1:4" x14ac:dyDescent="0.25">
      <c r="A14" t="s">
        <v>150</v>
      </c>
    </row>
    <row r="15" spans="1:4" x14ac:dyDescent="0.25">
      <c r="A15" t="s">
        <v>151</v>
      </c>
    </row>
    <row r="16" spans="1:4" x14ac:dyDescent="0.25">
      <c r="A16" t="s">
        <v>152</v>
      </c>
    </row>
    <row r="17" spans="1:1" x14ac:dyDescent="0.25">
      <c r="A17" t="s">
        <v>153</v>
      </c>
    </row>
    <row r="18" spans="1:1" x14ac:dyDescent="0.25">
      <c r="A18" t="s">
        <v>154</v>
      </c>
    </row>
    <row r="19" spans="1:1" x14ac:dyDescent="0.25">
      <c r="A19" t="s">
        <v>155</v>
      </c>
    </row>
    <row r="20" spans="1:1" x14ac:dyDescent="0.25">
      <c r="A20" t="s">
        <v>156</v>
      </c>
    </row>
    <row r="21" spans="1:1" x14ac:dyDescent="0.25">
      <c r="A21" t="s">
        <v>157</v>
      </c>
    </row>
    <row r="22" spans="1:1" x14ac:dyDescent="0.25">
      <c r="A22" t="s">
        <v>158</v>
      </c>
    </row>
    <row r="23" spans="1:1" x14ac:dyDescent="0.25">
      <c r="A23" t="s">
        <v>159</v>
      </c>
    </row>
    <row r="24" spans="1:1" x14ac:dyDescent="0.25">
      <c r="A24" t="s">
        <v>160</v>
      </c>
    </row>
    <row r="25" spans="1:1" x14ac:dyDescent="0.25">
      <c r="A25" t="s">
        <v>161</v>
      </c>
    </row>
    <row r="26" spans="1:1" x14ac:dyDescent="0.25">
      <c r="A26" t="s">
        <v>162</v>
      </c>
    </row>
    <row r="27" spans="1:1" x14ac:dyDescent="0.25">
      <c r="A27" t="s">
        <v>163</v>
      </c>
    </row>
    <row r="28" spans="1:1" x14ac:dyDescent="0.25">
      <c r="A28" t="s">
        <v>164</v>
      </c>
    </row>
    <row r="29" spans="1:1" x14ac:dyDescent="0.25">
      <c r="A29" t="s">
        <v>165</v>
      </c>
    </row>
    <row r="30" spans="1:1" x14ac:dyDescent="0.25">
      <c r="A30" t="s">
        <v>166</v>
      </c>
    </row>
    <row r="31" spans="1:1" x14ac:dyDescent="0.25">
      <c r="A31" t="s">
        <v>167</v>
      </c>
    </row>
    <row r="32" spans="1:1" x14ac:dyDescent="0.25">
      <c r="A32" t="s">
        <v>168</v>
      </c>
    </row>
    <row r="33" spans="1:1" x14ac:dyDescent="0.25">
      <c r="A33" t="s">
        <v>169</v>
      </c>
    </row>
    <row r="34" spans="1:1" x14ac:dyDescent="0.25">
      <c r="A34" t="s">
        <v>170</v>
      </c>
    </row>
    <row r="35" spans="1:1" x14ac:dyDescent="0.25">
      <c r="A35" t="s">
        <v>171</v>
      </c>
    </row>
    <row r="36" spans="1:1" x14ac:dyDescent="0.25">
      <c r="A36" t="s">
        <v>172</v>
      </c>
    </row>
    <row r="37" spans="1:1" x14ac:dyDescent="0.25">
      <c r="A37" t="s">
        <v>173</v>
      </c>
    </row>
    <row r="38" spans="1:1" x14ac:dyDescent="0.25">
      <c r="A38" s="6" t="s">
        <v>174</v>
      </c>
    </row>
    <row r="39" spans="1:1" x14ac:dyDescent="0.25">
      <c r="A39" t="s">
        <v>175</v>
      </c>
    </row>
    <row r="40" spans="1:1" x14ac:dyDescent="0.25">
      <c r="A40" t="s">
        <v>176</v>
      </c>
    </row>
    <row r="41" spans="1:1" x14ac:dyDescent="0.25">
      <c r="A41" t="s">
        <v>177</v>
      </c>
    </row>
    <row r="42" spans="1:1" x14ac:dyDescent="0.25">
      <c r="A42" t="s">
        <v>178</v>
      </c>
    </row>
    <row r="43" spans="1:1" x14ac:dyDescent="0.25">
      <c r="A43" t="s">
        <v>179</v>
      </c>
    </row>
    <row r="44" spans="1:1" x14ac:dyDescent="0.25">
      <c r="A44" t="s">
        <v>180</v>
      </c>
    </row>
    <row r="45" spans="1:1" x14ac:dyDescent="0.25">
      <c r="A45" t="s">
        <v>181</v>
      </c>
    </row>
    <row r="46" spans="1:1" x14ac:dyDescent="0.25">
      <c r="A46" t="s">
        <v>182</v>
      </c>
    </row>
    <row r="47" spans="1:1" x14ac:dyDescent="0.25">
      <c r="A47" t="s">
        <v>183</v>
      </c>
    </row>
    <row r="48" spans="1:1" x14ac:dyDescent="0.25">
      <c r="A48" t="s">
        <v>184</v>
      </c>
    </row>
    <row r="49" spans="1:1" x14ac:dyDescent="0.25">
      <c r="A49" t="s">
        <v>185</v>
      </c>
    </row>
    <row r="50" spans="1:1" x14ac:dyDescent="0.25">
      <c r="A50" t="s">
        <v>186</v>
      </c>
    </row>
    <row r="51" spans="1:1" x14ac:dyDescent="0.25">
      <c r="A51" t="s">
        <v>187</v>
      </c>
    </row>
    <row r="52" spans="1:1" x14ac:dyDescent="0.25">
      <c r="A52" t="s">
        <v>188</v>
      </c>
    </row>
    <row r="53" spans="1:1" x14ac:dyDescent="0.25">
      <c r="A53" t="s">
        <v>189</v>
      </c>
    </row>
    <row r="54" spans="1:1" x14ac:dyDescent="0.25">
      <c r="A54" t="s">
        <v>190</v>
      </c>
    </row>
    <row r="55" spans="1:1" x14ac:dyDescent="0.25">
      <c r="A55" t="s">
        <v>191</v>
      </c>
    </row>
    <row r="56" spans="1:1" x14ac:dyDescent="0.25">
      <c r="A56" t="s">
        <v>192</v>
      </c>
    </row>
    <row r="57" spans="1:1" x14ac:dyDescent="0.25">
      <c r="A57" t="s">
        <v>193</v>
      </c>
    </row>
    <row r="58" spans="1:1" x14ac:dyDescent="0.25">
      <c r="A58" t="s">
        <v>194</v>
      </c>
    </row>
    <row r="59" spans="1:1" x14ac:dyDescent="0.25">
      <c r="A59" t="s">
        <v>195</v>
      </c>
    </row>
    <row r="60" spans="1:1" x14ac:dyDescent="0.25">
      <c r="A60" t="s">
        <v>196</v>
      </c>
    </row>
    <row r="61" spans="1:1" x14ac:dyDescent="0.25">
      <c r="A61" t="s">
        <v>197</v>
      </c>
    </row>
    <row r="62" spans="1:1" x14ac:dyDescent="0.25">
      <c r="A62" t="s">
        <v>198</v>
      </c>
    </row>
    <row r="63" spans="1:1" x14ac:dyDescent="0.25">
      <c r="A63" t="s">
        <v>199</v>
      </c>
    </row>
    <row r="64" spans="1:1" x14ac:dyDescent="0.25">
      <c r="A64" t="s">
        <v>200</v>
      </c>
    </row>
    <row r="65" spans="1:1" x14ac:dyDescent="0.25">
      <c r="A65" t="s">
        <v>201</v>
      </c>
    </row>
    <row r="66" spans="1:1" x14ac:dyDescent="0.25">
      <c r="A66" t="s">
        <v>202</v>
      </c>
    </row>
    <row r="67" spans="1:1" x14ac:dyDescent="0.25">
      <c r="A67" t="s">
        <v>203</v>
      </c>
    </row>
    <row r="68" spans="1:1" x14ac:dyDescent="0.25">
      <c r="A68" s="7" t="s">
        <v>204</v>
      </c>
    </row>
    <row r="69" spans="1:1" x14ac:dyDescent="0.25">
      <c r="A69" t="s">
        <v>205</v>
      </c>
    </row>
    <row r="70" spans="1:1" x14ac:dyDescent="0.25">
      <c r="A70" t="s">
        <v>206</v>
      </c>
    </row>
    <row r="71" spans="1:1" x14ac:dyDescent="0.25">
      <c r="A71" t="s">
        <v>207</v>
      </c>
    </row>
    <row r="72" spans="1:1" x14ac:dyDescent="0.25">
      <c r="A72" t="s">
        <v>208</v>
      </c>
    </row>
    <row r="73" spans="1:1" x14ac:dyDescent="0.25">
      <c r="A73" t="s">
        <v>209</v>
      </c>
    </row>
    <row r="74" spans="1:1" x14ac:dyDescent="0.25">
      <c r="A74" t="s">
        <v>210</v>
      </c>
    </row>
    <row r="75" spans="1:1" x14ac:dyDescent="0.25">
      <c r="A75" t="s">
        <v>211</v>
      </c>
    </row>
    <row r="76" spans="1:1" x14ac:dyDescent="0.25">
      <c r="A76" t="s">
        <v>212</v>
      </c>
    </row>
    <row r="77" spans="1:1" x14ac:dyDescent="0.25">
      <c r="A77" t="s">
        <v>213</v>
      </c>
    </row>
    <row r="78" spans="1:1" x14ac:dyDescent="0.25">
      <c r="A78" t="s">
        <v>214</v>
      </c>
    </row>
    <row r="79" spans="1:1" x14ac:dyDescent="0.25">
      <c r="A79" t="s">
        <v>215</v>
      </c>
    </row>
    <row r="80" spans="1:1" x14ac:dyDescent="0.25">
      <c r="A80" t="s">
        <v>216</v>
      </c>
    </row>
    <row r="81" spans="1:1" x14ac:dyDescent="0.25">
      <c r="A81" t="s">
        <v>217</v>
      </c>
    </row>
    <row r="82" spans="1:1" x14ac:dyDescent="0.25">
      <c r="A82" t="s">
        <v>218</v>
      </c>
    </row>
    <row r="83" spans="1:1" x14ac:dyDescent="0.25">
      <c r="A83" t="s">
        <v>219</v>
      </c>
    </row>
    <row r="84" spans="1:1" x14ac:dyDescent="0.25">
      <c r="A84" t="s">
        <v>220</v>
      </c>
    </row>
    <row r="85" spans="1:1" x14ac:dyDescent="0.25">
      <c r="A85" t="s">
        <v>221</v>
      </c>
    </row>
    <row r="86" spans="1:1" x14ac:dyDescent="0.25">
      <c r="A86" t="s">
        <v>222</v>
      </c>
    </row>
    <row r="87" spans="1:1" x14ac:dyDescent="0.25">
      <c r="A87" t="s">
        <v>223</v>
      </c>
    </row>
    <row r="88" spans="1:1" x14ac:dyDescent="0.25">
      <c r="A88" t="s">
        <v>224</v>
      </c>
    </row>
    <row r="89" spans="1:1" x14ac:dyDescent="0.25">
      <c r="A89" t="s">
        <v>225</v>
      </c>
    </row>
    <row r="90" spans="1:1" x14ac:dyDescent="0.25">
      <c r="A90" t="s">
        <v>226</v>
      </c>
    </row>
    <row r="91" spans="1:1" x14ac:dyDescent="0.25">
      <c r="A91" t="s">
        <v>227</v>
      </c>
    </row>
    <row r="92" spans="1:1" x14ac:dyDescent="0.25">
      <c r="A92" t="s">
        <v>228</v>
      </c>
    </row>
    <row r="93" spans="1:1" x14ac:dyDescent="0.25">
      <c r="A93" t="s">
        <v>229</v>
      </c>
    </row>
    <row r="94" spans="1:1" x14ac:dyDescent="0.25">
      <c r="A94" t="s">
        <v>230</v>
      </c>
    </row>
    <row r="95" spans="1:1" x14ac:dyDescent="0.25">
      <c r="A95" t="s">
        <v>231</v>
      </c>
    </row>
    <row r="96" spans="1:1" x14ac:dyDescent="0.25">
      <c r="A96" t="s">
        <v>232</v>
      </c>
    </row>
    <row r="97" spans="1:1" x14ac:dyDescent="0.25">
      <c r="A97" t="s">
        <v>233</v>
      </c>
    </row>
    <row r="98" spans="1:1" x14ac:dyDescent="0.25">
      <c r="A98" t="s">
        <v>234</v>
      </c>
    </row>
    <row r="99" spans="1:1" x14ac:dyDescent="0.25">
      <c r="A99" t="s">
        <v>235</v>
      </c>
    </row>
    <row r="100" spans="1:1" x14ac:dyDescent="0.25">
      <c r="A100" t="s">
        <v>236</v>
      </c>
    </row>
    <row r="101" spans="1:1" x14ac:dyDescent="0.25">
      <c r="A101" t="s">
        <v>237</v>
      </c>
    </row>
    <row r="102" spans="1:1" x14ac:dyDescent="0.25">
      <c r="A102" t="s">
        <v>238</v>
      </c>
    </row>
    <row r="103" spans="1:1" x14ac:dyDescent="0.25">
      <c r="A103" t="s">
        <v>239</v>
      </c>
    </row>
    <row r="104" spans="1:1" x14ac:dyDescent="0.25">
      <c r="A104" t="s">
        <v>240</v>
      </c>
    </row>
    <row r="105" spans="1:1" x14ac:dyDescent="0.25">
      <c r="A105" t="s">
        <v>241</v>
      </c>
    </row>
    <row r="106" spans="1:1" x14ac:dyDescent="0.25">
      <c r="A106" t="s">
        <v>242</v>
      </c>
    </row>
    <row r="107" spans="1:1" x14ac:dyDescent="0.25">
      <c r="A107" t="s">
        <v>243</v>
      </c>
    </row>
    <row r="108" spans="1:1" x14ac:dyDescent="0.25">
      <c r="A108" t="s">
        <v>244</v>
      </c>
    </row>
    <row r="109" spans="1:1" x14ac:dyDescent="0.25">
      <c r="A109" t="s">
        <v>245</v>
      </c>
    </row>
    <row r="110" spans="1:1" x14ac:dyDescent="0.25">
      <c r="A110" t="s">
        <v>246</v>
      </c>
    </row>
    <row r="111" spans="1:1" x14ac:dyDescent="0.25">
      <c r="A111" t="s">
        <v>247</v>
      </c>
    </row>
    <row r="112" spans="1:1" x14ac:dyDescent="0.25">
      <c r="A112" t="s">
        <v>248</v>
      </c>
    </row>
    <row r="113" spans="1:1" x14ac:dyDescent="0.25">
      <c r="A113" t="s">
        <v>249</v>
      </c>
    </row>
    <row r="114" spans="1:1" x14ac:dyDescent="0.25">
      <c r="A114" t="s">
        <v>250</v>
      </c>
    </row>
    <row r="115" spans="1:1" x14ac:dyDescent="0.25">
      <c r="A115" t="s">
        <v>251</v>
      </c>
    </row>
    <row r="116" spans="1:1" x14ac:dyDescent="0.25">
      <c r="A116" t="s">
        <v>252</v>
      </c>
    </row>
    <row r="117" spans="1:1" x14ac:dyDescent="0.25">
      <c r="A117" t="s">
        <v>253</v>
      </c>
    </row>
    <row r="118" spans="1:1" x14ac:dyDescent="0.25">
      <c r="A118" t="s">
        <v>254</v>
      </c>
    </row>
    <row r="119" spans="1:1" x14ac:dyDescent="0.25">
      <c r="A119" t="s">
        <v>255</v>
      </c>
    </row>
    <row r="120" spans="1:1" x14ac:dyDescent="0.25">
      <c r="A120" t="s">
        <v>256</v>
      </c>
    </row>
    <row r="121" spans="1:1" x14ac:dyDescent="0.25">
      <c r="A121" t="s">
        <v>257</v>
      </c>
    </row>
    <row r="122" spans="1:1" x14ac:dyDescent="0.25">
      <c r="A122" t="s">
        <v>258</v>
      </c>
    </row>
    <row r="123" spans="1:1" x14ac:dyDescent="0.25">
      <c r="A123" t="s">
        <v>259</v>
      </c>
    </row>
    <row r="124" spans="1:1" x14ac:dyDescent="0.25">
      <c r="A124" t="s">
        <v>260</v>
      </c>
    </row>
    <row r="125" spans="1:1" x14ac:dyDescent="0.25">
      <c r="A125" t="s">
        <v>261</v>
      </c>
    </row>
    <row r="126" spans="1:1" x14ac:dyDescent="0.25">
      <c r="A126" t="s">
        <v>262</v>
      </c>
    </row>
    <row r="127" spans="1:1" x14ac:dyDescent="0.25">
      <c r="A127" t="s">
        <v>263</v>
      </c>
    </row>
    <row r="128" spans="1:1" x14ac:dyDescent="0.25">
      <c r="A128" t="s">
        <v>264</v>
      </c>
    </row>
    <row r="129" spans="1:1" x14ac:dyDescent="0.25">
      <c r="A129" t="s">
        <v>265</v>
      </c>
    </row>
    <row r="130" spans="1:1" x14ac:dyDescent="0.25">
      <c r="A130" t="s">
        <v>266</v>
      </c>
    </row>
    <row r="131" spans="1:1" x14ac:dyDescent="0.25">
      <c r="A131" t="s">
        <v>267</v>
      </c>
    </row>
    <row r="132" spans="1:1" x14ac:dyDescent="0.25">
      <c r="A132" t="s">
        <v>268</v>
      </c>
    </row>
    <row r="133" spans="1:1" x14ac:dyDescent="0.25">
      <c r="A133" t="s">
        <v>269</v>
      </c>
    </row>
    <row r="134" spans="1:1" x14ac:dyDescent="0.25">
      <c r="A134" t="s">
        <v>270</v>
      </c>
    </row>
    <row r="135" spans="1:1" x14ac:dyDescent="0.25">
      <c r="A135" t="s">
        <v>271</v>
      </c>
    </row>
    <row r="136" spans="1:1" x14ac:dyDescent="0.25">
      <c r="A136" t="s">
        <v>272</v>
      </c>
    </row>
    <row r="137" spans="1:1" x14ac:dyDescent="0.25">
      <c r="A137" t="s">
        <v>273</v>
      </c>
    </row>
    <row r="138" spans="1:1" x14ac:dyDescent="0.25">
      <c r="A138" t="s">
        <v>274</v>
      </c>
    </row>
    <row r="139" spans="1:1" x14ac:dyDescent="0.25">
      <c r="A139" t="s">
        <v>275</v>
      </c>
    </row>
    <row r="140" spans="1:1" x14ac:dyDescent="0.25">
      <c r="A140" t="s">
        <v>276</v>
      </c>
    </row>
    <row r="141" spans="1:1" x14ac:dyDescent="0.25">
      <c r="A141" t="s">
        <v>277</v>
      </c>
    </row>
    <row r="142" spans="1:1" x14ac:dyDescent="0.25">
      <c r="A142" t="s">
        <v>278</v>
      </c>
    </row>
    <row r="143" spans="1:1" x14ac:dyDescent="0.25">
      <c r="A143" t="s">
        <v>279</v>
      </c>
    </row>
    <row r="144" spans="1:1" x14ac:dyDescent="0.25">
      <c r="A144" t="s">
        <v>280</v>
      </c>
    </row>
    <row r="145" spans="1:1" x14ac:dyDescent="0.25">
      <c r="A145" t="s">
        <v>281</v>
      </c>
    </row>
    <row r="146" spans="1:1" x14ac:dyDescent="0.25">
      <c r="A146" t="s">
        <v>282</v>
      </c>
    </row>
    <row r="147" spans="1:1" x14ac:dyDescent="0.25">
      <c r="A147" t="s">
        <v>283</v>
      </c>
    </row>
    <row r="148" spans="1:1" x14ac:dyDescent="0.25">
      <c r="A148" t="s">
        <v>284</v>
      </c>
    </row>
    <row r="149" spans="1:1" x14ac:dyDescent="0.25">
      <c r="A149" t="s">
        <v>285</v>
      </c>
    </row>
    <row r="150" spans="1:1" x14ac:dyDescent="0.25">
      <c r="A150" t="s">
        <v>286</v>
      </c>
    </row>
    <row r="151" spans="1:1" x14ac:dyDescent="0.25">
      <c r="A151" t="s">
        <v>287</v>
      </c>
    </row>
    <row r="152" spans="1:1" x14ac:dyDescent="0.25">
      <c r="A152" t="s">
        <v>288</v>
      </c>
    </row>
    <row r="153" spans="1:1" x14ac:dyDescent="0.25">
      <c r="A153" t="s">
        <v>289</v>
      </c>
    </row>
    <row r="154" spans="1:1" x14ac:dyDescent="0.25">
      <c r="A154" t="s">
        <v>290</v>
      </c>
    </row>
    <row r="155" spans="1:1" x14ac:dyDescent="0.25">
      <c r="A155" t="s">
        <v>291</v>
      </c>
    </row>
    <row r="156" spans="1:1" x14ac:dyDescent="0.25">
      <c r="A156" t="s">
        <v>292</v>
      </c>
    </row>
    <row r="157" spans="1:1" x14ac:dyDescent="0.25">
      <c r="A157" t="s">
        <v>293</v>
      </c>
    </row>
    <row r="158" spans="1:1" x14ac:dyDescent="0.25">
      <c r="A158" t="s">
        <v>294</v>
      </c>
    </row>
    <row r="159" spans="1:1" x14ac:dyDescent="0.25">
      <c r="A159" t="s">
        <v>295</v>
      </c>
    </row>
    <row r="160" spans="1:1" x14ac:dyDescent="0.25">
      <c r="A160" t="s">
        <v>296</v>
      </c>
    </row>
    <row r="161" spans="1:1" x14ac:dyDescent="0.25">
      <c r="A161" t="s">
        <v>297</v>
      </c>
    </row>
    <row r="162" spans="1:1" x14ac:dyDescent="0.25">
      <c r="A162" t="s">
        <v>298</v>
      </c>
    </row>
    <row r="163" spans="1:1" x14ac:dyDescent="0.25">
      <c r="A163" t="s">
        <v>299</v>
      </c>
    </row>
    <row r="164" spans="1:1" x14ac:dyDescent="0.25">
      <c r="A164" t="s">
        <v>300</v>
      </c>
    </row>
    <row r="165" spans="1:1" x14ac:dyDescent="0.25">
      <c r="A165" s="7" t="s">
        <v>301</v>
      </c>
    </row>
    <row r="166" spans="1:1" x14ac:dyDescent="0.25">
      <c r="A166" t="s">
        <v>302</v>
      </c>
    </row>
    <row r="167" spans="1:1" x14ac:dyDescent="0.25">
      <c r="A167" t="s">
        <v>303</v>
      </c>
    </row>
    <row r="168" spans="1:1" x14ac:dyDescent="0.25">
      <c r="A168" t="s">
        <v>304</v>
      </c>
    </row>
    <row r="169" spans="1:1" x14ac:dyDescent="0.25">
      <c r="A169" t="s">
        <v>305</v>
      </c>
    </row>
    <row r="170" spans="1:1" x14ac:dyDescent="0.25">
      <c r="A170" s="7" t="s">
        <v>306</v>
      </c>
    </row>
    <row r="171" spans="1:1" x14ac:dyDescent="0.25">
      <c r="A171" t="s">
        <v>307</v>
      </c>
    </row>
    <row r="172" spans="1:1" x14ac:dyDescent="0.25">
      <c r="A172" t="s">
        <v>308</v>
      </c>
    </row>
    <row r="173" spans="1:1" x14ac:dyDescent="0.25">
      <c r="A173" t="s">
        <v>309</v>
      </c>
    </row>
    <row r="174" spans="1:1" x14ac:dyDescent="0.25">
      <c r="A174" t="s">
        <v>310</v>
      </c>
    </row>
    <row r="175" spans="1:1" x14ac:dyDescent="0.25">
      <c r="A175" t="s">
        <v>311</v>
      </c>
    </row>
    <row r="176" spans="1:1" x14ac:dyDescent="0.25">
      <c r="A176" t="s">
        <v>312</v>
      </c>
    </row>
    <row r="177" spans="1:1" x14ac:dyDescent="0.25">
      <c r="A177" t="s">
        <v>313</v>
      </c>
    </row>
    <row r="178" spans="1:1" x14ac:dyDescent="0.25">
      <c r="A178" t="s">
        <v>314</v>
      </c>
    </row>
    <row r="179" spans="1:1" x14ac:dyDescent="0.25">
      <c r="A179" t="s">
        <v>315</v>
      </c>
    </row>
    <row r="180" spans="1:1" x14ac:dyDescent="0.25">
      <c r="A180" t="s">
        <v>316</v>
      </c>
    </row>
    <row r="181" spans="1:1" x14ac:dyDescent="0.25">
      <c r="A181" t="s">
        <v>317</v>
      </c>
    </row>
    <row r="182" spans="1:1" x14ac:dyDescent="0.25">
      <c r="A182" t="s">
        <v>318</v>
      </c>
    </row>
    <row r="183" spans="1:1" x14ac:dyDescent="0.25">
      <c r="A183" t="s">
        <v>319</v>
      </c>
    </row>
    <row r="184" spans="1:1" x14ac:dyDescent="0.25">
      <c r="A184" s="7" t="s">
        <v>320</v>
      </c>
    </row>
    <row r="185" spans="1:1" x14ac:dyDescent="0.25">
      <c r="A185" t="s">
        <v>321</v>
      </c>
    </row>
    <row r="186" spans="1:1" x14ac:dyDescent="0.25">
      <c r="A186" t="s">
        <v>322</v>
      </c>
    </row>
    <row r="187" spans="1:1" x14ac:dyDescent="0.25">
      <c r="A187" t="s">
        <v>323</v>
      </c>
    </row>
    <row r="188" spans="1:1" x14ac:dyDescent="0.25">
      <c r="A188" t="s">
        <v>324</v>
      </c>
    </row>
    <row r="189" spans="1:1" x14ac:dyDescent="0.25">
      <c r="A189" s="6" t="s">
        <v>325</v>
      </c>
    </row>
    <row r="190" spans="1:1" x14ac:dyDescent="0.25">
      <c r="A190" t="s">
        <v>326</v>
      </c>
    </row>
    <row r="191" spans="1:1" x14ac:dyDescent="0.25">
      <c r="A191" t="s">
        <v>327</v>
      </c>
    </row>
    <row r="192" spans="1:1" x14ac:dyDescent="0.25">
      <c r="A192" t="s">
        <v>328</v>
      </c>
    </row>
    <row r="193" spans="1:1" x14ac:dyDescent="0.25">
      <c r="A193" t="s">
        <v>329</v>
      </c>
    </row>
    <row r="194" spans="1:1" x14ac:dyDescent="0.25">
      <c r="A194" t="s">
        <v>330</v>
      </c>
    </row>
    <row r="195" spans="1:1" x14ac:dyDescent="0.25">
      <c r="A195" t="s">
        <v>331</v>
      </c>
    </row>
    <row r="196" spans="1:1" x14ac:dyDescent="0.25">
      <c r="A196" t="s">
        <v>332</v>
      </c>
    </row>
    <row r="197" spans="1:1" x14ac:dyDescent="0.25">
      <c r="A197" t="s">
        <v>333</v>
      </c>
    </row>
    <row r="198" spans="1:1" x14ac:dyDescent="0.25">
      <c r="A198" t="s">
        <v>334</v>
      </c>
    </row>
    <row r="199" spans="1:1" x14ac:dyDescent="0.25">
      <c r="A199" t="s">
        <v>335</v>
      </c>
    </row>
    <row r="200" spans="1:1" x14ac:dyDescent="0.25">
      <c r="A200" t="s">
        <v>336</v>
      </c>
    </row>
    <row r="201" spans="1:1" x14ac:dyDescent="0.25">
      <c r="A201" t="s">
        <v>337</v>
      </c>
    </row>
    <row r="202" spans="1:1" x14ac:dyDescent="0.25">
      <c r="A202" t="s">
        <v>338</v>
      </c>
    </row>
    <row r="203" spans="1:1" x14ac:dyDescent="0.25">
      <c r="A203" t="s">
        <v>339</v>
      </c>
    </row>
    <row r="204" spans="1:1" x14ac:dyDescent="0.25">
      <c r="A204" t="s">
        <v>340</v>
      </c>
    </row>
    <row r="205" spans="1:1" x14ac:dyDescent="0.25">
      <c r="A205" t="s">
        <v>341</v>
      </c>
    </row>
    <row r="206" spans="1:1" x14ac:dyDescent="0.25">
      <c r="A206" t="s">
        <v>342</v>
      </c>
    </row>
    <row r="207" spans="1:1" x14ac:dyDescent="0.25">
      <c r="A207" t="s">
        <v>343</v>
      </c>
    </row>
    <row r="208" spans="1:1" x14ac:dyDescent="0.25">
      <c r="A208" t="s">
        <v>344</v>
      </c>
    </row>
    <row r="209" spans="1:1" x14ac:dyDescent="0.25">
      <c r="A209" t="s">
        <v>345</v>
      </c>
    </row>
    <row r="210" spans="1:1" x14ac:dyDescent="0.25">
      <c r="A210" t="s">
        <v>346</v>
      </c>
    </row>
    <row r="211" spans="1:1" x14ac:dyDescent="0.25">
      <c r="A211" t="s">
        <v>347</v>
      </c>
    </row>
    <row r="212" spans="1:1" x14ac:dyDescent="0.25">
      <c r="A212" t="s">
        <v>348</v>
      </c>
    </row>
    <row r="213" spans="1:1" x14ac:dyDescent="0.25">
      <c r="A213" t="s">
        <v>349</v>
      </c>
    </row>
    <row r="214" spans="1:1" x14ac:dyDescent="0.25">
      <c r="A214" t="s">
        <v>350</v>
      </c>
    </row>
    <row r="215" spans="1:1" x14ac:dyDescent="0.25">
      <c r="A215" t="s">
        <v>351</v>
      </c>
    </row>
    <row r="216" spans="1:1" x14ac:dyDescent="0.25">
      <c r="A216" t="s">
        <v>352</v>
      </c>
    </row>
    <row r="217" spans="1:1" x14ac:dyDescent="0.25">
      <c r="A217" t="s">
        <v>353</v>
      </c>
    </row>
    <row r="218" spans="1:1" x14ac:dyDescent="0.25">
      <c r="A218" t="s">
        <v>354</v>
      </c>
    </row>
    <row r="219" spans="1:1" x14ac:dyDescent="0.25">
      <c r="A219" t="s">
        <v>355</v>
      </c>
    </row>
    <row r="220" spans="1:1" x14ac:dyDescent="0.25">
      <c r="A220" t="s">
        <v>356</v>
      </c>
    </row>
    <row r="221" spans="1:1" x14ac:dyDescent="0.25">
      <c r="A221" t="s">
        <v>357</v>
      </c>
    </row>
    <row r="222" spans="1:1" x14ac:dyDescent="0.25">
      <c r="A222" t="s">
        <v>358</v>
      </c>
    </row>
    <row r="223" spans="1:1" x14ac:dyDescent="0.25">
      <c r="A223" t="s">
        <v>359</v>
      </c>
    </row>
    <row r="224" spans="1:1" x14ac:dyDescent="0.25">
      <c r="A224" t="s">
        <v>360</v>
      </c>
    </row>
    <row r="225" spans="1:1" x14ac:dyDescent="0.25">
      <c r="A225" t="s">
        <v>361</v>
      </c>
    </row>
    <row r="226" spans="1:1" x14ac:dyDescent="0.25">
      <c r="A226" t="s">
        <v>362</v>
      </c>
    </row>
    <row r="227" spans="1:1" x14ac:dyDescent="0.25">
      <c r="A227" t="s">
        <v>363</v>
      </c>
    </row>
    <row r="228" spans="1:1" x14ac:dyDescent="0.25">
      <c r="A228" t="s">
        <v>364</v>
      </c>
    </row>
    <row r="229" spans="1:1" x14ac:dyDescent="0.25">
      <c r="A229" t="s">
        <v>365</v>
      </c>
    </row>
    <row r="230" spans="1:1" x14ac:dyDescent="0.25">
      <c r="A230" t="s">
        <v>366</v>
      </c>
    </row>
    <row r="231" spans="1:1" x14ac:dyDescent="0.25">
      <c r="A231" t="s">
        <v>367</v>
      </c>
    </row>
    <row r="232" spans="1:1" x14ac:dyDescent="0.25">
      <c r="A232" t="s">
        <v>368</v>
      </c>
    </row>
    <row r="233" spans="1:1" x14ac:dyDescent="0.25">
      <c r="A233" t="s">
        <v>369</v>
      </c>
    </row>
    <row r="234" spans="1:1" x14ac:dyDescent="0.25">
      <c r="A234" t="s">
        <v>370</v>
      </c>
    </row>
    <row r="235" spans="1:1" x14ac:dyDescent="0.25">
      <c r="A235" t="s">
        <v>371</v>
      </c>
    </row>
    <row r="236" spans="1:1" x14ac:dyDescent="0.25">
      <c r="A236" t="s">
        <v>372</v>
      </c>
    </row>
    <row r="237" spans="1:1" x14ac:dyDescent="0.25">
      <c r="A237" t="s">
        <v>373</v>
      </c>
    </row>
    <row r="238" spans="1:1" x14ac:dyDescent="0.25">
      <c r="A238" t="s">
        <v>374</v>
      </c>
    </row>
    <row r="239" spans="1:1" x14ac:dyDescent="0.25">
      <c r="A239" t="s">
        <v>375</v>
      </c>
    </row>
    <row r="240" spans="1:1" x14ac:dyDescent="0.25">
      <c r="A240" t="s">
        <v>376</v>
      </c>
    </row>
    <row r="241" spans="1:1" x14ac:dyDescent="0.25">
      <c r="A241" t="s">
        <v>377</v>
      </c>
    </row>
    <row r="242" spans="1:1" x14ac:dyDescent="0.25">
      <c r="A242" t="s">
        <v>378</v>
      </c>
    </row>
    <row r="243" spans="1:1" x14ac:dyDescent="0.25">
      <c r="A243" t="s">
        <v>379</v>
      </c>
    </row>
    <row r="244" spans="1:1" x14ac:dyDescent="0.25">
      <c r="A244" t="s">
        <v>380</v>
      </c>
    </row>
    <row r="245" spans="1:1" x14ac:dyDescent="0.25">
      <c r="A245" t="s">
        <v>381</v>
      </c>
    </row>
    <row r="246" spans="1:1" x14ac:dyDescent="0.25">
      <c r="A246" t="s">
        <v>382</v>
      </c>
    </row>
    <row r="247" spans="1:1" x14ac:dyDescent="0.25">
      <c r="A247" t="s">
        <v>383</v>
      </c>
    </row>
    <row r="248" spans="1:1" x14ac:dyDescent="0.25">
      <c r="A248" t="s">
        <v>384</v>
      </c>
    </row>
    <row r="249" spans="1:1" x14ac:dyDescent="0.25">
      <c r="A249" t="s">
        <v>385</v>
      </c>
    </row>
    <row r="250" spans="1:1" x14ac:dyDescent="0.25">
      <c r="A250" t="s">
        <v>386</v>
      </c>
    </row>
    <row r="251" spans="1:1" x14ac:dyDescent="0.25">
      <c r="A251" t="s">
        <v>387</v>
      </c>
    </row>
    <row r="252" spans="1:1" x14ac:dyDescent="0.25">
      <c r="A252" t="s">
        <v>388</v>
      </c>
    </row>
    <row r="253" spans="1:1" x14ac:dyDescent="0.25">
      <c r="A253" t="s">
        <v>389</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390</v>
      </c>
    </row>
    <row r="3" spans="1:1" x14ac:dyDescent="0.25">
      <c r="A3" s="5" t="s">
        <v>391</v>
      </c>
    </row>
    <row r="4" spans="1:1" x14ac:dyDescent="0.25">
      <c r="A4" t="s">
        <v>392</v>
      </c>
    </row>
    <row r="5" spans="1:1" x14ac:dyDescent="0.25">
      <c r="A5" t="s">
        <v>393</v>
      </c>
    </row>
    <row r="6" spans="1:1" x14ac:dyDescent="0.25">
      <c r="A6" t="s">
        <v>394</v>
      </c>
    </row>
    <row r="7" spans="1:1" x14ac:dyDescent="0.25">
      <c r="A7" t="s">
        <v>395</v>
      </c>
    </row>
    <row r="8" spans="1:1" x14ac:dyDescent="0.25">
      <c r="A8" t="s">
        <v>396</v>
      </c>
    </row>
    <row r="9" spans="1:1" x14ac:dyDescent="0.25">
      <c r="A9" t="s">
        <v>397</v>
      </c>
    </row>
    <row r="10" spans="1:1" x14ac:dyDescent="0.25">
      <c r="A10" t="s">
        <v>398</v>
      </c>
    </row>
    <row r="11" spans="1:1" x14ac:dyDescent="0.25">
      <c r="A11" t="s">
        <v>399</v>
      </c>
    </row>
    <row r="12" spans="1:1" x14ac:dyDescent="0.25">
      <c r="A12" t="s">
        <v>400</v>
      </c>
    </row>
    <row r="13" spans="1:1" x14ac:dyDescent="0.25">
      <c r="A13" t="s">
        <v>401</v>
      </c>
    </row>
    <row r="14" spans="1:1" x14ac:dyDescent="0.25">
      <c r="A14" t="s">
        <v>402</v>
      </c>
    </row>
    <row r="15" spans="1:1" x14ac:dyDescent="0.25">
      <c r="A15" t="s">
        <v>403</v>
      </c>
    </row>
    <row r="16" spans="1:1" x14ac:dyDescent="0.25">
      <c r="A16" t="s">
        <v>404</v>
      </c>
    </row>
    <row r="17" spans="1:1" x14ac:dyDescent="0.25">
      <c r="A17" t="s">
        <v>405</v>
      </c>
    </row>
    <row r="18" spans="1:1" x14ac:dyDescent="0.25">
      <c r="A18" t="s">
        <v>406</v>
      </c>
    </row>
    <row r="19" spans="1:1" x14ac:dyDescent="0.25">
      <c r="A19" t="s">
        <v>407</v>
      </c>
    </row>
    <row r="20" spans="1:1" x14ac:dyDescent="0.25">
      <c r="A20" t="s">
        <v>408</v>
      </c>
    </row>
    <row r="21" spans="1:1" x14ac:dyDescent="0.25">
      <c r="A21" t="s">
        <v>409</v>
      </c>
    </row>
    <row r="22" spans="1:1" x14ac:dyDescent="0.25">
      <c r="A22" t="s">
        <v>410</v>
      </c>
    </row>
    <row r="23" spans="1:1" x14ac:dyDescent="0.25">
      <c r="A23" t="s">
        <v>411</v>
      </c>
    </row>
    <row r="24" spans="1:1" x14ac:dyDescent="0.25">
      <c r="A24" t="s">
        <v>412</v>
      </c>
    </row>
    <row r="25" spans="1:1" x14ac:dyDescent="0.25">
      <c r="A25" t="s">
        <v>413</v>
      </c>
    </row>
    <row r="26" spans="1:1" x14ac:dyDescent="0.25">
      <c r="A26" t="s">
        <v>414</v>
      </c>
    </row>
    <row r="27" spans="1:1" x14ac:dyDescent="0.25">
      <c r="A27" t="s">
        <v>415</v>
      </c>
    </row>
    <row r="28" spans="1:1" x14ac:dyDescent="0.25">
      <c r="A28" t="s">
        <v>416</v>
      </c>
    </row>
    <row r="29" spans="1:1" x14ac:dyDescent="0.25">
      <c r="A29" t="s">
        <v>417</v>
      </c>
    </row>
    <row r="30" spans="1:1" x14ac:dyDescent="0.25">
      <c r="A30" t="s">
        <v>418</v>
      </c>
    </row>
    <row r="31" spans="1:1" x14ac:dyDescent="0.25">
      <c r="A31" t="s">
        <v>419</v>
      </c>
    </row>
    <row r="32" spans="1:1" x14ac:dyDescent="0.25">
      <c r="A32" t="s">
        <v>420</v>
      </c>
    </row>
    <row r="33" spans="1:1" x14ac:dyDescent="0.25">
      <c r="A33" t="s">
        <v>421</v>
      </c>
    </row>
    <row r="34" spans="1:1" x14ac:dyDescent="0.25">
      <c r="A34" t="s">
        <v>422</v>
      </c>
    </row>
    <row r="35" spans="1:1" x14ac:dyDescent="0.25">
      <c r="A35" t="s">
        <v>423</v>
      </c>
    </row>
    <row r="36" spans="1:1" x14ac:dyDescent="0.25">
      <c r="A36" t="s">
        <v>424</v>
      </c>
    </row>
    <row r="37" spans="1:1" x14ac:dyDescent="0.25">
      <c r="A37" t="s">
        <v>425</v>
      </c>
    </row>
    <row r="38" spans="1:1" x14ac:dyDescent="0.25">
      <c r="A38" t="s">
        <v>426</v>
      </c>
    </row>
    <row r="39" spans="1:1" x14ac:dyDescent="0.25">
      <c r="A39" t="s">
        <v>427</v>
      </c>
    </row>
    <row r="40" spans="1:1" x14ac:dyDescent="0.25">
      <c r="A40" t="s">
        <v>428</v>
      </c>
    </row>
    <row r="41" spans="1:1" x14ac:dyDescent="0.25">
      <c r="A41" t="s">
        <v>429</v>
      </c>
    </row>
    <row r="42" spans="1:1" x14ac:dyDescent="0.25">
      <c r="A42" t="s">
        <v>430</v>
      </c>
    </row>
    <row r="43" spans="1:1" x14ac:dyDescent="0.25">
      <c r="A43" t="s">
        <v>431</v>
      </c>
    </row>
    <row r="44" spans="1:1" x14ac:dyDescent="0.25">
      <c r="A44" t="s">
        <v>432</v>
      </c>
    </row>
    <row r="45" spans="1:1" x14ac:dyDescent="0.25">
      <c r="A45" t="s">
        <v>433</v>
      </c>
    </row>
    <row r="46" spans="1:1" x14ac:dyDescent="0.25">
      <c r="A46" t="s">
        <v>434</v>
      </c>
    </row>
    <row r="47" spans="1:1" x14ac:dyDescent="0.25">
      <c r="A47" t="s">
        <v>435</v>
      </c>
    </row>
    <row r="48" spans="1:1" x14ac:dyDescent="0.25">
      <c r="A48" t="s">
        <v>436</v>
      </c>
    </row>
    <row r="49" spans="1:1" x14ac:dyDescent="0.25">
      <c r="A49" t="s">
        <v>437</v>
      </c>
    </row>
    <row r="50" spans="1:1" x14ac:dyDescent="0.25">
      <c r="A50" t="s">
        <v>438</v>
      </c>
    </row>
    <row r="51" spans="1:1" x14ac:dyDescent="0.25">
      <c r="A51" t="s">
        <v>439</v>
      </c>
    </row>
    <row r="52" spans="1:1" x14ac:dyDescent="0.25">
      <c r="A52" t="s">
        <v>440</v>
      </c>
    </row>
    <row r="53" spans="1:1" x14ac:dyDescent="0.25">
      <c r="A53" t="s">
        <v>441</v>
      </c>
    </row>
    <row r="54" spans="1:1" x14ac:dyDescent="0.25">
      <c r="A54" t="s">
        <v>442</v>
      </c>
    </row>
    <row r="55" spans="1:1" x14ac:dyDescent="0.25">
      <c r="A55" t="s">
        <v>443</v>
      </c>
    </row>
    <row r="56" spans="1:1" x14ac:dyDescent="0.25">
      <c r="A56" t="s">
        <v>444</v>
      </c>
    </row>
    <row r="57" spans="1:1" x14ac:dyDescent="0.25">
      <c r="A57" t="s">
        <v>445</v>
      </c>
    </row>
    <row r="58" spans="1:1" x14ac:dyDescent="0.25">
      <c r="A58" t="s">
        <v>446</v>
      </c>
    </row>
    <row r="59" spans="1:1" x14ac:dyDescent="0.25">
      <c r="A59" t="s">
        <v>447</v>
      </c>
    </row>
    <row r="60" spans="1:1" x14ac:dyDescent="0.25">
      <c r="A60" t="s">
        <v>448</v>
      </c>
    </row>
    <row r="61" spans="1:1" x14ac:dyDescent="0.25">
      <c r="A61" t="s">
        <v>449</v>
      </c>
    </row>
    <row r="62" spans="1:1" x14ac:dyDescent="0.25">
      <c r="A62" t="s">
        <v>450</v>
      </c>
    </row>
    <row r="63" spans="1:1" x14ac:dyDescent="0.25">
      <c r="A63" t="s">
        <v>451</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452</v>
      </c>
    </row>
    <row r="3" spans="1:1" x14ac:dyDescent="0.25">
      <c r="A3" s="5" t="s">
        <v>453</v>
      </c>
    </row>
    <row r="4" spans="1:1" x14ac:dyDescent="0.25">
      <c r="A4" t="s">
        <v>454</v>
      </c>
    </row>
    <row r="5" spans="1:1" x14ac:dyDescent="0.25">
      <c r="A5" t="s">
        <v>455</v>
      </c>
    </row>
    <row r="6" spans="1:1" x14ac:dyDescent="0.25">
      <c r="A6" t="s">
        <v>456</v>
      </c>
    </row>
    <row r="7" spans="1:1" x14ac:dyDescent="0.25">
      <c r="A7" t="s">
        <v>457</v>
      </c>
    </row>
    <row r="8" spans="1:1" x14ac:dyDescent="0.25">
      <c r="A8" t="s">
        <v>458</v>
      </c>
    </row>
    <row r="9" spans="1:1" x14ac:dyDescent="0.25">
      <c r="A9" t="s">
        <v>459</v>
      </c>
    </row>
    <row r="10" spans="1:1" x14ac:dyDescent="0.25">
      <c r="A10" t="s">
        <v>460</v>
      </c>
    </row>
    <row r="11" spans="1:1" x14ac:dyDescent="0.25">
      <c r="A11" t="s">
        <v>461</v>
      </c>
    </row>
    <row r="12" spans="1:1" x14ac:dyDescent="0.25">
      <c r="A12" t="s">
        <v>462</v>
      </c>
    </row>
    <row r="13" spans="1:1" x14ac:dyDescent="0.25">
      <c r="A13" t="s">
        <v>463</v>
      </c>
    </row>
    <row r="14" spans="1:1" x14ac:dyDescent="0.25">
      <c r="A14" t="s">
        <v>464</v>
      </c>
    </row>
    <row r="15" spans="1:1" x14ac:dyDescent="0.25">
      <c r="A15" t="s">
        <v>465</v>
      </c>
    </row>
    <row r="16" spans="1:1" x14ac:dyDescent="0.25">
      <c r="A16" t="s">
        <v>466</v>
      </c>
    </row>
    <row r="17" spans="1:1" x14ac:dyDescent="0.25">
      <c r="A17" t="s">
        <v>467</v>
      </c>
    </row>
    <row r="18" spans="1:1" x14ac:dyDescent="0.25">
      <c r="A18" t="s">
        <v>468</v>
      </c>
    </row>
    <row r="19" spans="1:1" x14ac:dyDescent="0.25">
      <c r="A19" t="s">
        <v>469</v>
      </c>
    </row>
    <row r="20" spans="1:1" x14ac:dyDescent="0.25">
      <c r="A20" t="s">
        <v>470</v>
      </c>
    </row>
    <row r="21" spans="1:1" x14ac:dyDescent="0.25">
      <c r="A21" t="s">
        <v>471</v>
      </c>
    </row>
    <row r="22" spans="1:1" x14ac:dyDescent="0.25">
      <c r="A22" t="s">
        <v>472</v>
      </c>
    </row>
    <row r="23" spans="1:1" x14ac:dyDescent="0.25">
      <c r="A23" t="s">
        <v>473</v>
      </c>
    </row>
    <row r="24" spans="1:1" x14ac:dyDescent="0.25">
      <c r="A24" t="s">
        <v>474</v>
      </c>
    </row>
    <row r="25" spans="1:1" x14ac:dyDescent="0.25">
      <c r="A25" t="s">
        <v>475</v>
      </c>
    </row>
    <row r="26" spans="1:1" x14ac:dyDescent="0.25">
      <c r="A26" t="s">
        <v>476</v>
      </c>
    </row>
    <row r="27" spans="1:1" x14ac:dyDescent="0.25">
      <c r="A27" t="s">
        <v>477</v>
      </c>
    </row>
    <row r="28" spans="1:1" x14ac:dyDescent="0.25">
      <c r="A28" t="s">
        <v>478</v>
      </c>
    </row>
    <row r="29" spans="1:1" x14ac:dyDescent="0.25">
      <c r="A29" t="s">
        <v>479</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480</v>
      </c>
      <c r="B1" t="s">
        <v>481</v>
      </c>
      <c r="C1" t="s">
        <v>482</v>
      </c>
    </row>
    <row r="2" spans="1:3" x14ac:dyDescent="0.25">
      <c r="A2">
        <v>2</v>
      </c>
      <c r="B2">
        <v>3</v>
      </c>
      <c r="C2" t="s">
        <v>483</v>
      </c>
    </row>
    <row r="3" spans="1:3" x14ac:dyDescent="0.25">
      <c r="A3">
        <v>4</v>
      </c>
      <c r="B3">
        <v>5</v>
      </c>
      <c r="C3" t="s">
        <v>484</v>
      </c>
    </row>
    <row r="4" spans="1:3" x14ac:dyDescent="0.25">
      <c r="A4">
        <v>4</v>
      </c>
      <c r="B4">
        <v>6</v>
      </c>
      <c r="C4" t="s">
        <v>485</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486</v>
      </c>
      <c r="B1" t="s">
        <v>487</v>
      </c>
      <c r="C1" t="s">
        <v>488</v>
      </c>
      <c r="D1" t="s">
        <v>482</v>
      </c>
      <c r="F1" s="69" t="s">
        <v>489</v>
      </c>
      <c r="G1" s="69"/>
      <c r="H1" s="69"/>
    </row>
    <row r="2" spans="1:8" x14ac:dyDescent="0.25">
      <c r="A2">
        <v>403</v>
      </c>
      <c r="B2" t="s">
        <v>490</v>
      </c>
      <c r="C2" t="s">
        <v>491</v>
      </c>
      <c r="D2" t="s">
        <v>492</v>
      </c>
      <c r="F2" t="s">
        <v>486</v>
      </c>
      <c r="G2" t="s">
        <v>487</v>
      </c>
      <c r="H2" t="s">
        <v>493</v>
      </c>
    </row>
    <row r="3" spans="1:8" x14ac:dyDescent="0.25">
      <c r="A3">
        <v>404</v>
      </c>
      <c r="B3" t="s">
        <v>494</v>
      </c>
      <c r="C3" t="s">
        <v>495</v>
      </c>
      <c r="D3" t="s">
        <v>496</v>
      </c>
      <c r="F3">
        <v>249</v>
      </c>
      <c r="G3" t="s">
        <v>497</v>
      </c>
      <c r="H3" t="s">
        <v>498</v>
      </c>
    </row>
    <row r="4" spans="1:8" x14ac:dyDescent="0.25">
      <c r="A4">
        <v>405</v>
      </c>
      <c r="B4" t="s">
        <v>499</v>
      </c>
      <c r="C4" t="s">
        <v>495</v>
      </c>
      <c r="D4" t="s">
        <v>500</v>
      </c>
      <c r="F4">
        <v>251</v>
      </c>
      <c r="G4" t="s">
        <v>501</v>
      </c>
      <c r="H4" t="s">
        <v>502</v>
      </c>
    </row>
    <row r="5" spans="1:8" x14ac:dyDescent="0.25">
      <c r="A5">
        <v>406</v>
      </c>
      <c r="B5" t="s">
        <v>503</v>
      </c>
      <c r="C5" t="s">
        <v>495</v>
      </c>
      <c r="D5" t="s">
        <v>504</v>
      </c>
      <c r="F5">
        <v>254</v>
      </c>
      <c r="G5" t="s">
        <v>505</v>
      </c>
      <c r="H5" t="s">
        <v>506</v>
      </c>
    </row>
    <row r="6" spans="1:8" x14ac:dyDescent="0.25">
      <c r="A6">
        <v>407</v>
      </c>
      <c r="B6" t="s">
        <v>507</v>
      </c>
      <c r="C6" t="s">
        <v>508</v>
      </c>
      <c r="D6" t="s">
        <v>509</v>
      </c>
      <c r="F6">
        <v>186</v>
      </c>
      <c r="G6" t="s">
        <v>510</v>
      </c>
      <c r="H6" t="s">
        <v>511</v>
      </c>
    </row>
    <row r="7" spans="1:8" x14ac:dyDescent="0.25">
      <c r="A7">
        <v>408</v>
      </c>
      <c r="B7" t="s">
        <v>512</v>
      </c>
      <c r="C7" t="s">
        <v>491</v>
      </c>
      <c r="D7" t="s">
        <v>513</v>
      </c>
      <c r="F7">
        <v>187</v>
      </c>
      <c r="G7" t="s">
        <v>514</v>
      </c>
      <c r="H7" t="s">
        <v>511</v>
      </c>
    </row>
    <row r="8" spans="1:8" x14ac:dyDescent="0.25">
      <c r="A8">
        <v>409</v>
      </c>
      <c r="B8" t="s">
        <v>515</v>
      </c>
      <c r="C8" t="s">
        <v>516</v>
      </c>
      <c r="D8" t="s">
        <v>517</v>
      </c>
      <c r="F8">
        <v>196</v>
      </c>
      <c r="G8" t="s">
        <v>518</v>
      </c>
      <c r="H8" t="s">
        <v>511</v>
      </c>
    </row>
    <row r="9" spans="1:8" x14ac:dyDescent="0.25">
      <c r="A9">
        <v>410</v>
      </c>
      <c r="B9" t="s">
        <v>519</v>
      </c>
      <c r="C9" t="s">
        <v>495</v>
      </c>
      <c r="D9" t="s">
        <v>520</v>
      </c>
      <c r="F9">
        <v>201</v>
      </c>
      <c r="G9" t="s">
        <v>521</v>
      </c>
      <c r="H9" t="s">
        <v>511</v>
      </c>
    </row>
    <row r="10" spans="1:8" x14ac:dyDescent="0.25">
      <c r="A10">
        <v>411</v>
      </c>
      <c r="B10" t="s">
        <v>522</v>
      </c>
      <c r="C10" t="s">
        <v>516</v>
      </c>
      <c r="D10" t="s">
        <v>523</v>
      </c>
      <c r="F10">
        <v>232</v>
      </c>
      <c r="G10" t="s">
        <v>524</v>
      </c>
      <c r="H10" t="s">
        <v>525</v>
      </c>
    </row>
    <row r="11" spans="1:8" x14ac:dyDescent="0.25">
      <c r="A11">
        <v>412</v>
      </c>
      <c r="B11" t="s">
        <v>526</v>
      </c>
      <c r="C11" t="s">
        <v>527</v>
      </c>
      <c r="D11" t="s">
        <v>528</v>
      </c>
      <c r="F11">
        <v>251</v>
      </c>
      <c r="G11" t="s">
        <v>529</v>
      </c>
      <c r="H11" t="s">
        <v>511</v>
      </c>
    </row>
    <row r="12" spans="1:8" x14ac:dyDescent="0.25">
      <c r="A12">
        <v>413</v>
      </c>
      <c r="B12" t="s">
        <v>530</v>
      </c>
      <c r="C12" t="s">
        <v>527</v>
      </c>
      <c r="D12" t="s">
        <v>531</v>
      </c>
      <c r="F12">
        <v>276</v>
      </c>
      <c r="G12" t="s">
        <v>532</v>
      </c>
      <c r="H12" t="s">
        <v>533</v>
      </c>
    </row>
    <row r="13" spans="1:8" x14ac:dyDescent="0.25">
      <c r="A13">
        <v>414</v>
      </c>
      <c r="B13" t="s">
        <v>534</v>
      </c>
      <c r="C13" t="s">
        <v>527</v>
      </c>
      <c r="D13" t="s">
        <v>535</v>
      </c>
      <c r="F13">
        <v>313</v>
      </c>
      <c r="G13" t="s">
        <v>536</v>
      </c>
      <c r="H13" t="s">
        <v>537</v>
      </c>
    </row>
    <row r="14" spans="1:8" x14ac:dyDescent="0.25">
      <c r="A14">
        <v>415</v>
      </c>
      <c r="B14" t="s">
        <v>538</v>
      </c>
      <c r="C14" t="s">
        <v>539</v>
      </c>
      <c r="D14" t="s">
        <v>540</v>
      </c>
      <c r="F14">
        <v>298</v>
      </c>
      <c r="G14" t="s">
        <v>541</v>
      </c>
      <c r="H14" t="s">
        <v>533</v>
      </c>
    </row>
    <row r="15" spans="1:8" x14ac:dyDescent="0.25">
      <c r="A15">
        <v>416</v>
      </c>
      <c r="B15" t="s">
        <v>542</v>
      </c>
      <c r="C15" t="s">
        <v>527</v>
      </c>
      <c r="D15" t="s">
        <v>543</v>
      </c>
      <c r="F15">
        <v>233</v>
      </c>
      <c r="G15" t="s">
        <v>544</v>
      </c>
      <c r="H15" t="s">
        <v>545</v>
      </c>
    </row>
    <row r="16" spans="1:8" x14ac:dyDescent="0.25">
      <c r="A16">
        <v>417</v>
      </c>
      <c r="B16" t="s">
        <v>546</v>
      </c>
      <c r="C16" t="s">
        <v>539</v>
      </c>
      <c r="D16" t="s">
        <v>547</v>
      </c>
      <c r="F16">
        <v>203</v>
      </c>
      <c r="G16" t="s">
        <v>548</v>
      </c>
      <c r="H16" t="s">
        <v>549</v>
      </c>
    </row>
    <row r="17" spans="1:8" x14ac:dyDescent="0.25">
      <c r="A17">
        <v>418</v>
      </c>
      <c r="B17" t="s">
        <v>550</v>
      </c>
      <c r="C17" t="s">
        <v>551</v>
      </c>
      <c r="D17" t="s">
        <v>547</v>
      </c>
      <c r="F17">
        <v>202</v>
      </c>
      <c r="G17" t="s">
        <v>552</v>
      </c>
      <c r="H17" t="s">
        <v>553</v>
      </c>
    </row>
    <row r="18" spans="1:8" x14ac:dyDescent="0.25">
      <c r="A18">
        <v>419</v>
      </c>
      <c r="B18" t="s">
        <v>554</v>
      </c>
      <c r="C18" t="s">
        <v>555</v>
      </c>
      <c r="D18" t="s">
        <v>556</v>
      </c>
      <c r="F18">
        <v>204</v>
      </c>
      <c r="G18" t="s">
        <v>557</v>
      </c>
      <c r="H18" t="s">
        <v>558</v>
      </c>
    </row>
    <row r="19" spans="1:8" x14ac:dyDescent="0.25">
      <c r="A19">
        <v>420</v>
      </c>
      <c r="B19" t="s">
        <v>559</v>
      </c>
      <c r="C19" t="s">
        <v>491</v>
      </c>
      <c r="D19" t="s">
        <v>560</v>
      </c>
      <c r="F19">
        <v>323</v>
      </c>
      <c r="G19" t="s">
        <v>561</v>
      </c>
      <c r="H19" t="s">
        <v>562</v>
      </c>
    </row>
    <row r="20" spans="1:8" x14ac:dyDescent="0.25">
      <c r="A20">
        <v>421</v>
      </c>
      <c r="B20" t="s">
        <v>563</v>
      </c>
      <c r="C20" t="s">
        <v>527</v>
      </c>
      <c r="F20">
        <v>293</v>
      </c>
      <c r="G20" t="s">
        <v>564</v>
      </c>
      <c r="H20" t="s">
        <v>565</v>
      </c>
    </row>
    <row r="21" spans="1:8" x14ac:dyDescent="0.25">
      <c r="A21">
        <v>422</v>
      </c>
      <c r="B21" t="s">
        <v>566</v>
      </c>
      <c r="C21" t="s">
        <v>527</v>
      </c>
    </row>
    <row r="22" spans="1:8" x14ac:dyDescent="0.25">
      <c r="A22">
        <v>423</v>
      </c>
      <c r="B22" t="s">
        <v>567</v>
      </c>
      <c r="C22" t="s">
        <v>527</v>
      </c>
    </row>
    <row r="23" spans="1:8" x14ac:dyDescent="0.25">
      <c r="A23">
        <v>424</v>
      </c>
      <c r="B23" t="s">
        <v>568</v>
      </c>
      <c r="C23" t="s">
        <v>527</v>
      </c>
    </row>
    <row r="24" spans="1:8" x14ac:dyDescent="0.25">
      <c r="A24">
        <v>425</v>
      </c>
      <c r="B24" t="s">
        <v>569</v>
      </c>
      <c r="C24" t="s">
        <v>570</v>
      </c>
      <c r="D24" t="s">
        <v>571</v>
      </c>
    </row>
    <row r="25" spans="1:8" x14ac:dyDescent="0.25">
      <c r="A25">
        <v>426</v>
      </c>
      <c r="B25" t="s">
        <v>572</v>
      </c>
      <c r="C25" t="s">
        <v>570</v>
      </c>
      <c r="F25" s="72" t="s">
        <v>573</v>
      </c>
      <c r="G25" s="72"/>
      <c r="H25" s="72"/>
    </row>
    <row r="26" spans="1:8" x14ac:dyDescent="0.25">
      <c r="A26">
        <v>427</v>
      </c>
      <c r="B26" t="s">
        <v>574</v>
      </c>
      <c r="C26" t="s">
        <v>495</v>
      </c>
      <c r="F26" t="s">
        <v>486</v>
      </c>
      <c r="G26" t="s">
        <v>575</v>
      </c>
    </row>
    <row r="27" spans="1:8" x14ac:dyDescent="0.25">
      <c r="A27">
        <v>428</v>
      </c>
      <c r="B27" t="s">
        <v>576</v>
      </c>
      <c r="C27" t="s">
        <v>539</v>
      </c>
      <c r="F27">
        <v>188</v>
      </c>
      <c r="G27" t="s">
        <v>577</v>
      </c>
    </row>
    <row r="28" spans="1:8" x14ac:dyDescent="0.25">
      <c r="A28">
        <v>429</v>
      </c>
      <c r="B28" t="s">
        <v>578</v>
      </c>
      <c r="C28" t="s">
        <v>539</v>
      </c>
      <c r="F28">
        <v>189</v>
      </c>
      <c r="G28" t="s">
        <v>576</v>
      </c>
    </row>
    <row r="29" spans="1:8" x14ac:dyDescent="0.25">
      <c r="A29">
        <v>430</v>
      </c>
      <c r="B29" t="s">
        <v>579</v>
      </c>
      <c r="C29" t="s">
        <v>495</v>
      </c>
      <c r="F29">
        <v>190</v>
      </c>
      <c r="G29" t="s">
        <v>580</v>
      </c>
    </row>
    <row r="30" spans="1:8" x14ac:dyDescent="0.25">
      <c r="A30">
        <v>431</v>
      </c>
      <c r="B30" t="s">
        <v>581</v>
      </c>
      <c r="C30" t="s">
        <v>491</v>
      </c>
      <c r="F30">
        <v>191</v>
      </c>
      <c r="G30" t="s">
        <v>582</v>
      </c>
    </row>
    <row r="31" spans="1:8" x14ac:dyDescent="0.25">
      <c r="A31">
        <v>432</v>
      </c>
      <c r="B31" t="s">
        <v>583</v>
      </c>
      <c r="C31" t="s">
        <v>570</v>
      </c>
      <c r="F31">
        <v>192</v>
      </c>
      <c r="G31" t="s">
        <v>584</v>
      </c>
    </row>
    <row r="32" spans="1:8" x14ac:dyDescent="0.25">
      <c r="A32">
        <v>433</v>
      </c>
      <c r="B32" t="s">
        <v>585</v>
      </c>
      <c r="C32" t="s">
        <v>586</v>
      </c>
      <c r="F32">
        <v>193</v>
      </c>
      <c r="G32" t="s">
        <v>587</v>
      </c>
    </row>
    <row r="33" spans="1:7" x14ac:dyDescent="0.25">
      <c r="A33">
        <v>434</v>
      </c>
      <c r="B33" t="s">
        <v>588</v>
      </c>
      <c r="C33" t="s">
        <v>589</v>
      </c>
      <c r="D33" t="s">
        <v>590</v>
      </c>
      <c r="F33">
        <v>194</v>
      </c>
      <c r="G33" t="s">
        <v>591</v>
      </c>
    </row>
    <row r="34" spans="1:7" x14ac:dyDescent="0.25">
      <c r="A34">
        <v>435</v>
      </c>
      <c r="B34" t="s">
        <v>592</v>
      </c>
      <c r="C34" t="s">
        <v>495</v>
      </c>
      <c r="D34" t="s">
        <v>593</v>
      </c>
      <c r="F34">
        <v>195</v>
      </c>
      <c r="G34" t="s">
        <v>594</v>
      </c>
    </row>
    <row r="35" spans="1:7" x14ac:dyDescent="0.25">
      <c r="A35">
        <v>436</v>
      </c>
      <c r="B35" t="s">
        <v>595</v>
      </c>
      <c r="C35" t="s">
        <v>527</v>
      </c>
      <c r="D35" t="s">
        <v>596</v>
      </c>
      <c r="F35">
        <v>196</v>
      </c>
      <c r="G35" t="s">
        <v>597</v>
      </c>
    </row>
    <row r="36" spans="1:7" x14ac:dyDescent="0.25">
      <c r="A36">
        <v>437</v>
      </c>
      <c r="B36" t="s">
        <v>598</v>
      </c>
      <c r="C36" t="s">
        <v>599</v>
      </c>
      <c r="D36" t="s">
        <v>600</v>
      </c>
      <c r="F36">
        <v>197</v>
      </c>
      <c r="G36" t="s">
        <v>601</v>
      </c>
    </row>
    <row r="37" spans="1:7" x14ac:dyDescent="0.25">
      <c r="A37">
        <v>438</v>
      </c>
      <c r="B37" t="s">
        <v>602</v>
      </c>
      <c r="C37" t="s">
        <v>570</v>
      </c>
      <c r="F37">
        <v>198</v>
      </c>
      <c r="G37" t="s">
        <v>603</v>
      </c>
    </row>
    <row r="38" spans="1:7" x14ac:dyDescent="0.25">
      <c r="A38">
        <v>439</v>
      </c>
      <c r="B38" t="s">
        <v>604</v>
      </c>
      <c r="C38" t="s">
        <v>570</v>
      </c>
      <c r="F38">
        <v>199</v>
      </c>
      <c r="G38" t="s">
        <v>605</v>
      </c>
    </row>
    <row r="39" spans="1:7" x14ac:dyDescent="0.25">
      <c r="A39">
        <v>440</v>
      </c>
      <c r="B39" t="s">
        <v>606</v>
      </c>
      <c r="C39" t="s">
        <v>570</v>
      </c>
      <c r="F39">
        <v>200</v>
      </c>
      <c r="G39" t="s">
        <v>607</v>
      </c>
    </row>
    <row r="40" spans="1:7" x14ac:dyDescent="0.25">
      <c r="A40">
        <v>441</v>
      </c>
      <c r="B40" t="s">
        <v>608</v>
      </c>
      <c r="C40" t="s">
        <v>570</v>
      </c>
      <c r="F40">
        <v>201</v>
      </c>
      <c r="G40" t="s">
        <v>609</v>
      </c>
    </row>
    <row r="41" spans="1:7" x14ac:dyDescent="0.25">
      <c r="A41">
        <v>442</v>
      </c>
      <c r="B41" t="s">
        <v>610</v>
      </c>
      <c r="C41" t="s">
        <v>570</v>
      </c>
      <c r="F41">
        <v>202</v>
      </c>
      <c r="G41" t="s">
        <v>611</v>
      </c>
    </row>
    <row r="42" spans="1:7" x14ac:dyDescent="0.25">
      <c r="A42">
        <v>443</v>
      </c>
      <c r="B42" t="s">
        <v>612</v>
      </c>
      <c r="C42" t="s">
        <v>570</v>
      </c>
      <c r="F42">
        <v>203</v>
      </c>
      <c r="G42" t="s">
        <v>613</v>
      </c>
    </row>
    <row r="43" spans="1:7" x14ac:dyDescent="0.25">
      <c r="A43">
        <v>444</v>
      </c>
      <c r="B43" t="s">
        <v>614</v>
      </c>
      <c r="C43" t="s">
        <v>491</v>
      </c>
      <c r="D43" t="s">
        <v>615</v>
      </c>
      <c r="F43">
        <v>204</v>
      </c>
      <c r="G43" t="s">
        <v>616</v>
      </c>
    </row>
    <row r="44" spans="1:7" x14ac:dyDescent="0.25">
      <c r="A44">
        <v>445</v>
      </c>
      <c r="B44" t="s">
        <v>617</v>
      </c>
      <c r="C44" t="s">
        <v>491</v>
      </c>
      <c r="D44" t="s">
        <v>618</v>
      </c>
      <c r="F44">
        <v>205</v>
      </c>
      <c r="G44" t="s">
        <v>619</v>
      </c>
    </row>
    <row r="45" spans="1:7" x14ac:dyDescent="0.25">
      <c r="A45">
        <v>446</v>
      </c>
      <c r="B45" t="s">
        <v>620</v>
      </c>
      <c r="C45" t="s">
        <v>570</v>
      </c>
      <c r="D45" t="s">
        <v>621</v>
      </c>
      <c r="F45">
        <v>206</v>
      </c>
      <c r="G45" t="s">
        <v>622</v>
      </c>
    </row>
    <row r="46" spans="1:7" x14ac:dyDescent="0.25">
      <c r="A46">
        <v>447</v>
      </c>
      <c r="B46" t="s">
        <v>623</v>
      </c>
      <c r="C46" t="s">
        <v>570</v>
      </c>
      <c r="D46" t="s">
        <v>624</v>
      </c>
      <c r="F46">
        <v>207</v>
      </c>
      <c r="G46" t="s">
        <v>625</v>
      </c>
    </row>
    <row r="47" spans="1:7" x14ac:dyDescent="0.25">
      <c r="A47">
        <v>448</v>
      </c>
      <c r="B47" t="s">
        <v>626</v>
      </c>
      <c r="C47" t="s">
        <v>551</v>
      </c>
      <c r="D47" t="s">
        <v>627</v>
      </c>
      <c r="F47">
        <v>208</v>
      </c>
      <c r="G47" t="s">
        <v>628</v>
      </c>
    </row>
    <row r="48" spans="1:7" x14ac:dyDescent="0.25">
      <c r="A48">
        <v>449</v>
      </c>
      <c r="B48" t="s">
        <v>629</v>
      </c>
      <c r="C48" t="s">
        <v>599</v>
      </c>
      <c r="D48" t="s">
        <v>627</v>
      </c>
      <c r="F48">
        <v>209</v>
      </c>
      <c r="G48" t="s">
        <v>630</v>
      </c>
    </row>
    <row r="49" spans="1:7" x14ac:dyDescent="0.25">
      <c r="A49">
        <v>450</v>
      </c>
      <c r="B49" t="s">
        <v>631</v>
      </c>
      <c r="C49" t="s">
        <v>570</v>
      </c>
      <c r="D49" t="s">
        <v>632</v>
      </c>
      <c r="F49">
        <v>210</v>
      </c>
      <c r="G49" t="s">
        <v>633</v>
      </c>
    </row>
    <row r="50" spans="1:7" x14ac:dyDescent="0.25">
      <c r="A50">
        <v>451</v>
      </c>
      <c r="B50" t="s">
        <v>634</v>
      </c>
      <c r="C50" t="s">
        <v>551</v>
      </c>
      <c r="D50" t="s">
        <v>635</v>
      </c>
      <c r="F50">
        <v>211</v>
      </c>
      <c r="G50" t="s">
        <v>636</v>
      </c>
    </row>
    <row r="51" spans="1:7" x14ac:dyDescent="0.25">
      <c r="A51">
        <v>452</v>
      </c>
      <c r="B51" t="s">
        <v>637</v>
      </c>
      <c r="C51" t="s">
        <v>516</v>
      </c>
      <c r="D51" t="s">
        <v>638</v>
      </c>
      <c r="F51">
        <v>212</v>
      </c>
      <c r="G51" t="s">
        <v>639</v>
      </c>
    </row>
    <row r="52" spans="1:7" x14ac:dyDescent="0.25">
      <c r="A52">
        <v>453</v>
      </c>
      <c r="B52" t="s">
        <v>640</v>
      </c>
      <c r="C52" t="s">
        <v>570</v>
      </c>
      <c r="D52" t="s">
        <v>641</v>
      </c>
      <c r="F52">
        <v>213</v>
      </c>
      <c r="G52" t="s">
        <v>642</v>
      </c>
    </row>
    <row r="53" spans="1:7" x14ac:dyDescent="0.25">
      <c r="A53">
        <v>454</v>
      </c>
      <c r="B53" t="s">
        <v>643</v>
      </c>
      <c r="C53" t="s">
        <v>495</v>
      </c>
      <c r="D53" t="s">
        <v>641</v>
      </c>
      <c r="F53">
        <v>214</v>
      </c>
      <c r="G53" t="s">
        <v>16</v>
      </c>
    </row>
    <row r="54" spans="1:7" x14ac:dyDescent="0.25">
      <c r="A54">
        <v>455</v>
      </c>
      <c r="B54" t="s">
        <v>644</v>
      </c>
      <c r="C54" t="s">
        <v>495</v>
      </c>
      <c r="D54" t="s">
        <v>641</v>
      </c>
      <c r="F54">
        <v>215</v>
      </c>
      <c r="G54" t="s">
        <v>19</v>
      </c>
    </row>
    <row r="55" spans="1:7" x14ac:dyDescent="0.25">
      <c r="A55">
        <v>456</v>
      </c>
      <c r="B55" t="s">
        <v>645</v>
      </c>
      <c r="C55" t="s">
        <v>570</v>
      </c>
      <c r="D55" t="s">
        <v>646</v>
      </c>
      <c r="F55">
        <v>216</v>
      </c>
      <c r="G55" t="s">
        <v>20</v>
      </c>
    </row>
    <row r="56" spans="1:7" x14ac:dyDescent="0.25">
      <c r="A56">
        <v>457</v>
      </c>
      <c r="B56" t="s">
        <v>647</v>
      </c>
      <c r="C56" t="s">
        <v>570</v>
      </c>
      <c r="D56" t="s">
        <v>648</v>
      </c>
      <c r="F56">
        <v>217</v>
      </c>
      <c r="G56" t="s">
        <v>22</v>
      </c>
    </row>
    <row r="57" spans="1:7" x14ac:dyDescent="0.25">
      <c r="A57">
        <v>458</v>
      </c>
      <c r="B57" t="s">
        <v>649</v>
      </c>
      <c r="C57" t="s">
        <v>570</v>
      </c>
      <c r="D57" t="s">
        <v>650</v>
      </c>
      <c r="F57">
        <v>218</v>
      </c>
      <c r="G57" t="s">
        <v>23</v>
      </c>
    </row>
    <row r="58" spans="1:7" x14ac:dyDescent="0.25">
      <c r="A58">
        <v>459</v>
      </c>
      <c r="B58" t="s">
        <v>651</v>
      </c>
      <c r="C58" t="s">
        <v>570</v>
      </c>
      <c r="D58" t="s">
        <v>652</v>
      </c>
      <c r="F58">
        <v>219</v>
      </c>
      <c r="G58" t="s">
        <v>653</v>
      </c>
    </row>
    <row r="59" spans="1:7" x14ac:dyDescent="0.25">
      <c r="A59">
        <v>460</v>
      </c>
      <c r="B59" t="s">
        <v>654</v>
      </c>
      <c r="C59" t="s">
        <v>570</v>
      </c>
      <c r="D59" t="s">
        <v>655</v>
      </c>
      <c r="F59">
        <v>220</v>
      </c>
      <c r="G59" t="s">
        <v>656</v>
      </c>
    </row>
    <row r="60" spans="1:7" x14ac:dyDescent="0.25">
      <c r="A60">
        <v>461</v>
      </c>
      <c r="B60" t="s">
        <v>657</v>
      </c>
      <c r="C60" t="s">
        <v>570</v>
      </c>
      <c r="D60" t="s">
        <v>658</v>
      </c>
      <c r="F60">
        <v>221</v>
      </c>
      <c r="G60" t="s">
        <v>659</v>
      </c>
    </row>
    <row r="61" spans="1:7" x14ac:dyDescent="0.25">
      <c r="A61">
        <v>462</v>
      </c>
      <c r="B61" t="s">
        <v>660</v>
      </c>
      <c r="C61" t="s">
        <v>491</v>
      </c>
      <c r="D61" t="s">
        <v>661</v>
      </c>
      <c r="F61">
        <v>222</v>
      </c>
      <c r="G61" t="s">
        <v>662</v>
      </c>
    </row>
    <row r="62" spans="1:7" x14ac:dyDescent="0.25">
      <c r="A62">
        <v>463</v>
      </c>
      <c r="B62" t="s">
        <v>663</v>
      </c>
      <c r="C62" t="s">
        <v>527</v>
      </c>
      <c r="D62" t="s">
        <v>664</v>
      </c>
      <c r="F62">
        <v>223</v>
      </c>
      <c r="G62" t="s">
        <v>665</v>
      </c>
    </row>
    <row r="63" spans="1:7" x14ac:dyDescent="0.25">
      <c r="A63">
        <v>464</v>
      </c>
      <c r="B63" t="s">
        <v>666</v>
      </c>
      <c r="C63" t="s">
        <v>551</v>
      </c>
      <c r="D63" t="s">
        <v>667</v>
      </c>
      <c r="F63">
        <v>224</v>
      </c>
      <c r="G63" t="s">
        <v>668</v>
      </c>
    </row>
    <row r="64" spans="1:7" x14ac:dyDescent="0.25">
      <c r="A64">
        <v>465</v>
      </c>
      <c r="B64" t="s">
        <v>669</v>
      </c>
      <c r="C64" t="s">
        <v>539</v>
      </c>
      <c r="D64" t="s">
        <v>667</v>
      </c>
      <c r="F64">
        <v>225</v>
      </c>
      <c r="G64" t="s">
        <v>670</v>
      </c>
    </row>
    <row r="65" spans="1:7" x14ac:dyDescent="0.25">
      <c r="A65">
        <v>466</v>
      </c>
      <c r="B65" t="s">
        <v>671</v>
      </c>
      <c r="C65" t="s">
        <v>491</v>
      </c>
      <c r="D65" t="s">
        <v>672</v>
      </c>
      <c r="F65">
        <v>226</v>
      </c>
      <c r="G65" t="s">
        <v>673</v>
      </c>
    </row>
    <row r="66" spans="1:7" x14ac:dyDescent="0.25">
      <c r="A66">
        <v>467</v>
      </c>
      <c r="B66" t="s">
        <v>674</v>
      </c>
      <c r="C66" t="s">
        <v>516</v>
      </c>
      <c r="D66" t="s">
        <v>675</v>
      </c>
      <c r="F66">
        <v>227</v>
      </c>
      <c r="G66" t="s">
        <v>676</v>
      </c>
    </row>
    <row r="67" spans="1:7" x14ac:dyDescent="0.25">
      <c r="A67">
        <v>468</v>
      </c>
      <c r="B67" t="s">
        <v>677</v>
      </c>
      <c r="C67" t="s">
        <v>516</v>
      </c>
      <c r="D67" t="s">
        <v>678</v>
      </c>
      <c r="F67">
        <v>228</v>
      </c>
      <c r="G67" t="s">
        <v>679</v>
      </c>
    </row>
    <row r="68" spans="1:7" x14ac:dyDescent="0.25">
      <c r="A68">
        <v>469</v>
      </c>
      <c r="B68" t="s">
        <v>588</v>
      </c>
      <c r="C68" t="s">
        <v>589</v>
      </c>
      <c r="D68" t="s">
        <v>680</v>
      </c>
      <c r="F68">
        <v>229</v>
      </c>
      <c r="G68" t="s">
        <v>681</v>
      </c>
    </row>
    <row r="69" spans="1:7" x14ac:dyDescent="0.25">
      <c r="A69">
        <v>470</v>
      </c>
      <c r="B69" t="s">
        <v>682</v>
      </c>
      <c r="C69" t="s">
        <v>539</v>
      </c>
      <c r="D69" t="s">
        <v>683</v>
      </c>
      <c r="F69">
        <v>230</v>
      </c>
      <c r="G69" t="s">
        <v>684</v>
      </c>
    </row>
    <row r="70" spans="1:7" x14ac:dyDescent="0.25">
      <c r="A70">
        <v>471</v>
      </c>
      <c r="B70" t="s">
        <v>685</v>
      </c>
      <c r="C70" t="s">
        <v>539</v>
      </c>
      <c r="D70" t="s">
        <v>683</v>
      </c>
      <c r="F70">
        <v>231</v>
      </c>
      <c r="G70" t="s">
        <v>686</v>
      </c>
    </row>
    <row r="71" spans="1:7" x14ac:dyDescent="0.25">
      <c r="A71">
        <v>472</v>
      </c>
      <c r="B71" t="s">
        <v>687</v>
      </c>
      <c r="C71" t="s">
        <v>539</v>
      </c>
      <c r="D71" t="s">
        <v>683</v>
      </c>
      <c r="F71">
        <v>232</v>
      </c>
      <c r="G71" t="s">
        <v>688</v>
      </c>
    </row>
    <row r="72" spans="1:7" x14ac:dyDescent="0.25">
      <c r="A72">
        <v>473</v>
      </c>
      <c r="B72" t="s">
        <v>689</v>
      </c>
      <c r="C72" t="s">
        <v>690</v>
      </c>
      <c r="D72" t="s">
        <v>691</v>
      </c>
      <c r="F72">
        <v>233</v>
      </c>
      <c r="G72" t="s">
        <v>692</v>
      </c>
    </row>
    <row r="73" spans="1:7" x14ac:dyDescent="0.25">
      <c r="A73">
        <v>474</v>
      </c>
      <c r="B73" t="s">
        <v>693</v>
      </c>
      <c r="C73" t="s">
        <v>694</v>
      </c>
      <c r="D73" t="s">
        <v>695</v>
      </c>
      <c r="F73">
        <v>234</v>
      </c>
      <c r="G73" t="s">
        <v>696</v>
      </c>
    </row>
    <row r="74" spans="1:7" x14ac:dyDescent="0.25">
      <c r="A74">
        <v>475</v>
      </c>
      <c r="B74" t="s">
        <v>697</v>
      </c>
      <c r="C74" t="s">
        <v>694</v>
      </c>
      <c r="D74" t="s">
        <v>698</v>
      </c>
      <c r="F74">
        <v>235</v>
      </c>
      <c r="G74" t="s">
        <v>699</v>
      </c>
    </row>
    <row r="75" spans="1:7" x14ac:dyDescent="0.25">
      <c r="A75">
        <v>476</v>
      </c>
      <c r="B75" t="s">
        <v>700</v>
      </c>
      <c r="C75" t="s">
        <v>539</v>
      </c>
      <c r="D75" t="s">
        <v>701</v>
      </c>
      <c r="F75">
        <v>236</v>
      </c>
      <c r="G75" t="s">
        <v>702</v>
      </c>
    </row>
    <row r="76" spans="1:7" x14ac:dyDescent="0.25">
      <c r="A76">
        <v>477</v>
      </c>
      <c r="B76" t="s">
        <v>703</v>
      </c>
      <c r="C76" t="s">
        <v>539</v>
      </c>
      <c r="D76" t="s">
        <v>704</v>
      </c>
      <c r="F76">
        <v>237</v>
      </c>
      <c r="G76" t="s">
        <v>705</v>
      </c>
    </row>
    <row r="77" spans="1:7" x14ac:dyDescent="0.25">
      <c r="A77">
        <v>478</v>
      </c>
      <c r="B77" t="s">
        <v>706</v>
      </c>
      <c r="C77" t="s">
        <v>527</v>
      </c>
      <c r="D77" t="s">
        <v>707</v>
      </c>
      <c r="F77">
        <v>238</v>
      </c>
      <c r="G77" t="s">
        <v>708</v>
      </c>
    </row>
    <row r="78" spans="1:7" x14ac:dyDescent="0.25">
      <c r="A78">
        <v>479</v>
      </c>
      <c r="B78" t="s">
        <v>709</v>
      </c>
      <c r="C78" t="s">
        <v>495</v>
      </c>
      <c r="D78" t="s">
        <v>710</v>
      </c>
      <c r="F78">
        <v>239</v>
      </c>
      <c r="G78" t="s">
        <v>711</v>
      </c>
    </row>
    <row r="79" spans="1:7" x14ac:dyDescent="0.25">
      <c r="A79">
        <v>480</v>
      </c>
      <c r="B79" t="s">
        <v>712</v>
      </c>
      <c r="C79" t="s">
        <v>495</v>
      </c>
      <c r="D79" t="s">
        <v>710</v>
      </c>
      <c r="F79">
        <v>240</v>
      </c>
      <c r="G79" t="s">
        <v>713</v>
      </c>
    </row>
    <row r="80" spans="1:7" x14ac:dyDescent="0.25">
      <c r="A80">
        <v>481</v>
      </c>
      <c r="B80" t="s">
        <v>714</v>
      </c>
      <c r="C80" t="s">
        <v>495</v>
      </c>
      <c r="D80" t="s">
        <v>715</v>
      </c>
      <c r="F80">
        <v>241</v>
      </c>
      <c r="G80" t="s">
        <v>716</v>
      </c>
    </row>
    <row r="81" spans="1:7" x14ac:dyDescent="0.25">
      <c r="A81">
        <v>482</v>
      </c>
      <c r="B81" t="s">
        <v>717</v>
      </c>
      <c r="C81" t="s">
        <v>718</v>
      </c>
      <c r="F81">
        <v>242</v>
      </c>
      <c r="G81" t="s">
        <v>719</v>
      </c>
    </row>
    <row r="82" spans="1:7" x14ac:dyDescent="0.25">
      <c r="A82">
        <v>483</v>
      </c>
      <c r="B82" t="s">
        <v>720</v>
      </c>
      <c r="C82" t="s">
        <v>721</v>
      </c>
      <c r="F82">
        <v>243</v>
      </c>
      <c r="G82" t="s">
        <v>722</v>
      </c>
    </row>
    <row r="83" spans="1:7" x14ac:dyDescent="0.25">
      <c r="A83">
        <v>484</v>
      </c>
      <c r="B83" t="s">
        <v>723</v>
      </c>
      <c r="C83" t="s">
        <v>570</v>
      </c>
      <c r="F83">
        <v>244</v>
      </c>
      <c r="G83" t="s">
        <v>724</v>
      </c>
    </row>
    <row r="84" spans="1:7" x14ac:dyDescent="0.25">
      <c r="A84">
        <v>485</v>
      </c>
      <c r="B84" t="s">
        <v>725</v>
      </c>
      <c r="C84" t="s">
        <v>570</v>
      </c>
      <c r="D84" t="s">
        <v>726</v>
      </c>
      <c r="F84">
        <v>245</v>
      </c>
      <c r="G84" t="s">
        <v>727</v>
      </c>
    </row>
    <row r="85" spans="1:7" x14ac:dyDescent="0.25">
      <c r="A85">
        <v>486</v>
      </c>
      <c r="B85" t="s">
        <v>728</v>
      </c>
      <c r="C85" t="s">
        <v>570</v>
      </c>
      <c r="D85" t="s">
        <v>729</v>
      </c>
      <c r="F85">
        <v>246</v>
      </c>
      <c r="G85" t="s">
        <v>730</v>
      </c>
    </row>
    <row r="86" spans="1:7" x14ac:dyDescent="0.25">
      <c r="A86">
        <v>487</v>
      </c>
      <c r="B86" t="s">
        <v>731</v>
      </c>
      <c r="C86" t="s">
        <v>690</v>
      </c>
      <c r="D86" t="s">
        <v>732</v>
      </c>
      <c r="F86">
        <v>247</v>
      </c>
      <c r="G86" t="s">
        <v>733</v>
      </c>
    </row>
    <row r="87" spans="1:7" x14ac:dyDescent="0.25">
      <c r="A87">
        <v>488</v>
      </c>
      <c r="B87" t="s">
        <v>734</v>
      </c>
      <c r="C87" t="s">
        <v>495</v>
      </c>
      <c r="D87" t="s">
        <v>735</v>
      </c>
      <c r="F87">
        <v>248</v>
      </c>
      <c r="G87" t="s">
        <v>736</v>
      </c>
    </row>
    <row r="88" spans="1:7" x14ac:dyDescent="0.25">
      <c r="A88">
        <v>489</v>
      </c>
      <c r="B88" t="s">
        <v>737</v>
      </c>
      <c r="C88" t="s">
        <v>495</v>
      </c>
      <c r="D88" t="s">
        <v>738</v>
      </c>
      <c r="F88">
        <v>249</v>
      </c>
      <c r="G88" t="s">
        <v>739</v>
      </c>
    </row>
    <row r="89" spans="1:7" x14ac:dyDescent="0.25">
      <c r="A89">
        <v>490</v>
      </c>
      <c r="B89" t="s">
        <v>740</v>
      </c>
      <c r="C89" t="s">
        <v>495</v>
      </c>
      <c r="D89" t="s">
        <v>741</v>
      </c>
      <c r="F89">
        <v>250</v>
      </c>
      <c r="G89" t="s">
        <v>742</v>
      </c>
    </row>
    <row r="90" spans="1:7" x14ac:dyDescent="0.25">
      <c r="A90">
        <v>491</v>
      </c>
      <c r="B90" t="s">
        <v>743</v>
      </c>
      <c r="C90" t="s">
        <v>516</v>
      </c>
      <c r="D90" t="s">
        <v>744</v>
      </c>
      <c r="F90">
        <v>251</v>
      </c>
      <c r="G90" t="s">
        <v>745</v>
      </c>
    </row>
    <row r="91" spans="1:7" x14ac:dyDescent="0.25">
      <c r="A91">
        <v>492</v>
      </c>
      <c r="B91" t="s">
        <v>746</v>
      </c>
      <c r="C91" t="s">
        <v>551</v>
      </c>
      <c r="D91" t="s">
        <v>747</v>
      </c>
      <c r="F91">
        <v>252</v>
      </c>
      <c r="G91" t="s">
        <v>748</v>
      </c>
    </row>
    <row r="92" spans="1:7" x14ac:dyDescent="0.25">
      <c r="A92">
        <v>493</v>
      </c>
      <c r="B92" t="s">
        <v>673</v>
      </c>
      <c r="C92" t="s">
        <v>570</v>
      </c>
      <c r="D92" t="s">
        <v>749</v>
      </c>
      <c r="F92">
        <v>253</v>
      </c>
      <c r="G92" t="s">
        <v>750</v>
      </c>
    </row>
    <row r="93" spans="1:7" x14ac:dyDescent="0.25">
      <c r="A93">
        <v>494</v>
      </c>
      <c r="B93" t="s">
        <v>751</v>
      </c>
      <c r="C93" t="s">
        <v>570</v>
      </c>
      <c r="D93" t="s">
        <v>752</v>
      </c>
      <c r="F93">
        <v>254</v>
      </c>
      <c r="G93" t="s">
        <v>753</v>
      </c>
    </row>
    <row r="94" spans="1:7" x14ac:dyDescent="0.25">
      <c r="A94">
        <v>495</v>
      </c>
      <c r="B94" t="s">
        <v>754</v>
      </c>
      <c r="C94" t="s">
        <v>516</v>
      </c>
      <c r="D94" t="s">
        <v>755</v>
      </c>
      <c r="F94">
        <v>255</v>
      </c>
      <c r="G94" t="s">
        <v>756</v>
      </c>
    </row>
    <row r="95" spans="1:7" x14ac:dyDescent="0.25">
      <c r="A95">
        <v>496</v>
      </c>
      <c r="B95" t="s">
        <v>757</v>
      </c>
      <c r="C95" t="s">
        <v>758</v>
      </c>
      <c r="D95" t="s">
        <v>759</v>
      </c>
      <c r="F95">
        <v>256</v>
      </c>
      <c r="G95" t="s">
        <v>760</v>
      </c>
    </row>
    <row r="96" spans="1:7" x14ac:dyDescent="0.25">
      <c r="A96">
        <v>497</v>
      </c>
      <c r="B96" t="s">
        <v>761</v>
      </c>
      <c r="C96" t="s">
        <v>589</v>
      </c>
      <c r="D96" t="s">
        <v>762</v>
      </c>
      <c r="F96">
        <v>257</v>
      </c>
      <c r="G96" t="s">
        <v>763</v>
      </c>
    </row>
    <row r="97" spans="1:4" x14ac:dyDescent="0.25">
      <c r="A97">
        <v>498</v>
      </c>
      <c r="B97" t="s">
        <v>764</v>
      </c>
      <c r="C97" t="s">
        <v>555</v>
      </c>
      <c r="D97" t="s">
        <v>765</v>
      </c>
    </row>
    <row r="98" spans="1:4" x14ac:dyDescent="0.25">
      <c r="A98">
        <v>499</v>
      </c>
      <c r="B98" t="s">
        <v>766</v>
      </c>
      <c r="C98" t="s">
        <v>718</v>
      </c>
    </row>
    <row r="99" spans="1:4" x14ac:dyDescent="0.25">
      <c r="A99">
        <v>500</v>
      </c>
      <c r="B99" t="s">
        <v>767</v>
      </c>
      <c r="C99" t="s">
        <v>718</v>
      </c>
    </row>
    <row r="100" spans="1:4" x14ac:dyDescent="0.25">
      <c r="A100">
        <v>501</v>
      </c>
      <c r="B100" t="s">
        <v>768</v>
      </c>
      <c r="C100" t="s">
        <v>718</v>
      </c>
    </row>
    <row r="101" spans="1:4" x14ac:dyDescent="0.25">
      <c r="A101">
        <v>502</v>
      </c>
      <c r="B101" t="s">
        <v>769</v>
      </c>
      <c r="C101" t="s">
        <v>718</v>
      </c>
    </row>
    <row r="102" spans="1:4" x14ac:dyDescent="0.25">
      <c r="A102">
        <v>503</v>
      </c>
      <c r="B102" t="s">
        <v>770</v>
      </c>
      <c r="C102" t="s">
        <v>718</v>
      </c>
    </row>
    <row r="103" spans="1:4" x14ac:dyDescent="0.25">
      <c r="A103">
        <v>504</v>
      </c>
      <c r="B103" t="s">
        <v>771</v>
      </c>
      <c r="C103" t="s">
        <v>718</v>
      </c>
    </row>
    <row r="104" spans="1:4" x14ac:dyDescent="0.25">
      <c r="A104">
        <v>505</v>
      </c>
      <c r="B104" t="s">
        <v>772</v>
      </c>
      <c r="C104" t="s">
        <v>718</v>
      </c>
    </row>
    <row r="105" spans="1:4" x14ac:dyDescent="0.25">
      <c r="A105">
        <v>506</v>
      </c>
      <c r="B105" t="s">
        <v>773</v>
      </c>
      <c r="C105" t="s">
        <v>718</v>
      </c>
    </row>
    <row r="106" spans="1:4" x14ac:dyDescent="0.25">
      <c r="A106">
        <v>507</v>
      </c>
      <c r="B106" t="s">
        <v>774</v>
      </c>
      <c r="C106" t="s">
        <v>758</v>
      </c>
    </row>
    <row r="107" spans="1:4" x14ac:dyDescent="0.25">
      <c r="A107">
        <v>508</v>
      </c>
      <c r="B107" t="s">
        <v>775</v>
      </c>
      <c r="C107" t="s">
        <v>758</v>
      </c>
    </row>
    <row r="108" spans="1:4" x14ac:dyDescent="0.25">
      <c r="A108">
        <v>509</v>
      </c>
      <c r="B108" t="s">
        <v>776</v>
      </c>
      <c r="C108" t="s">
        <v>527</v>
      </c>
    </row>
    <row r="109" spans="1:4" x14ac:dyDescent="0.25">
      <c r="A109">
        <v>510</v>
      </c>
      <c r="B109" t="s">
        <v>777</v>
      </c>
      <c r="C109" t="s">
        <v>527</v>
      </c>
    </row>
    <row r="110" spans="1:4" x14ac:dyDescent="0.25">
      <c r="A110">
        <v>511</v>
      </c>
      <c r="B110" t="s">
        <v>778</v>
      </c>
      <c r="C110" t="s">
        <v>586</v>
      </c>
    </row>
    <row r="111" spans="1:4" x14ac:dyDescent="0.25">
      <c r="A111">
        <v>512</v>
      </c>
      <c r="B111" t="s">
        <v>779</v>
      </c>
      <c r="C111" t="s">
        <v>527</v>
      </c>
    </row>
    <row r="112" spans="1:4" x14ac:dyDescent="0.25">
      <c r="A112">
        <v>513</v>
      </c>
      <c r="B112" t="s">
        <v>780</v>
      </c>
      <c r="C112" t="s">
        <v>551</v>
      </c>
    </row>
    <row r="113" spans="1:4" x14ac:dyDescent="0.25">
      <c r="A113">
        <v>514</v>
      </c>
      <c r="B113" t="s">
        <v>781</v>
      </c>
      <c r="C113" t="s">
        <v>782</v>
      </c>
    </row>
    <row r="114" spans="1:4" x14ac:dyDescent="0.25">
      <c r="A114">
        <v>515</v>
      </c>
      <c r="B114" t="s">
        <v>783</v>
      </c>
      <c r="C114" t="s">
        <v>782</v>
      </c>
    </row>
    <row r="115" spans="1:4" x14ac:dyDescent="0.25">
      <c r="A115">
        <v>516</v>
      </c>
      <c r="B115" t="s">
        <v>784</v>
      </c>
      <c r="C115" t="s">
        <v>782</v>
      </c>
    </row>
    <row r="116" spans="1:4" x14ac:dyDescent="0.25">
      <c r="A116">
        <v>517</v>
      </c>
      <c r="B116" t="s">
        <v>785</v>
      </c>
      <c r="C116" t="s">
        <v>782</v>
      </c>
    </row>
    <row r="117" spans="1:4" x14ac:dyDescent="0.25">
      <c r="A117">
        <v>518</v>
      </c>
      <c r="B117" t="s">
        <v>786</v>
      </c>
      <c r="C117" t="s">
        <v>782</v>
      </c>
    </row>
    <row r="118" spans="1:4" x14ac:dyDescent="0.25">
      <c r="A118">
        <v>519</v>
      </c>
      <c r="B118" t="s">
        <v>787</v>
      </c>
      <c r="C118" t="s">
        <v>758</v>
      </c>
    </row>
    <row r="119" spans="1:4" x14ac:dyDescent="0.25">
      <c r="A119">
        <v>520</v>
      </c>
      <c r="B119" t="s">
        <v>788</v>
      </c>
      <c r="C119" t="s">
        <v>508</v>
      </c>
    </row>
    <row r="120" spans="1:4" x14ac:dyDescent="0.25">
      <c r="A120">
        <v>521</v>
      </c>
      <c r="B120" t="s">
        <v>789</v>
      </c>
      <c r="C120" t="s">
        <v>508</v>
      </c>
    </row>
    <row r="121" spans="1:4" x14ac:dyDescent="0.25">
      <c r="A121">
        <v>522</v>
      </c>
      <c r="B121" t="s">
        <v>790</v>
      </c>
      <c r="C121" t="s">
        <v>508</v>
      </c>
      <c r="D121" t="s">
        <v>791</v>
      </c>
    </row>
    <row r="122" spans="1:4" x14ac:dyDescent="0.25">
      <c r="A122">
        <v>523</v>
      </c>
      <c r="B122" t="s">
        <v>792</v>
      </c>
      <c r="C122" t="s">
        <v>793</v>
      </c>
      <c r="D122" t="s">
        <v>794</v>
      </c>
    </row>
    <row r="123" spans="1:4" x14ac:dyDescent="0.25">
      <c r="A123">
        <v>524</v>
      </c>
      <c r="B123" t="s">
        <v>795</v>
      </c>
      <c r="C123" t="s">
        <v>551</v>
      </c>
      <c r="D123" t="s">
        <v>796</v>
      </c>
    </row>
    <row r="124" spans="1:4" x14ac:dyDescent="0.25">
      <c r="A124">
        <v>525</v>
      </c>
      <c r="B124" t="s">
        <v>797</v>
      </c>
      <c r="C124" t="s">
        <v>718</v>
      </c>
    </row>
    <row r="125" spans="1:4" x14ac:dyDescent="0.25">
      <c r="A125">
        <v>526</v>
      </c>
      <c r="B125" t="s">
        <v>798</v>
      </c>
      <c r="C125" t="s">
        <v>718</v>
      </c>
    </row>
    <row r="126" spans="1:4" x14ac:dyDescent="0.25">
      <c r="A126">
        <v>527</v>
      </c>
      <c r="B126" t="s">
        <v>799</v>
      </c>
      <c r="C126" t="s">
        <v>718</v>
      </c>
    </row>
    <row r="127" spans="1:4" x14ac:dyDescent="0.25">
      <c r="A127">
        <v>528</v>
      </c>
      <c r="B127" t="s">
        <v>800</v>
      </c>
      <c r="C127" t="s">
        <v>718</v>
      </c>
    </row>
    <row r="128" spans="1:4" x14ac:dyDescent="0.25">
      <c r="A128">
        <v>529</v>
      </c>
      <c r="B128" t="s">
        <v>801</v>
      </c>
      <c r="C128" t="s">
        <v>802</v>
      </c>
    </row>
    <row r="129" spans="1:4" x14ac:dyDescent="0.25">
      <c r="A129">
        <v>530</v>
      </c>
      <c r="B129" t="s">
        <v>803</v>
      </c>
      <c r="C129" t="s">
        <v>802</v>
      </c>
    </row>
    <row r="130" spans="1:4" x14ac:dyDescent="0.25">
      <c r="A130">
        <v>531</v>
      </c>
      <c r="B130" t="s">
        <v>804</v>
      </c>
      <c r="C130" t="s">
        <v>527</v>
      </c>
    </row>
    <row r="131" spans="1:4" x14ac:dyDescent="0.25">
      <c r="A131">
        <v>532</v>
      </c>
      <c r="B131" t="s">
        <v>805</v>
      </c>
      <c r="C131" t="s">
        <v>539</v>
      </c>
    </row>
    <row r="132" spans="1:4" x14ac:dyDescent="0.25">
      <c r="A132">
        <v>533</v>
      </c>
      <c r="B132" t="s">
        <v>806</v>
      </c>
      <c r="C132" t="s">
        <v>527</v>
      </c>
    </row>
    <row r="133" spans="1:4" x14ac:dyDescent="0.25">
      <c r="A133">
        <v>534</v>
      </c>
      <c r="B133" t="s">
        <v>807</v>
      </c>
      <c r="C133" t="s">
        <v>508</v>
      </c>
    </row>
    <row r="134" spans="1:4" x14ac:dyDescent="0.25">
      <c r="A134">
        <v>535</v>
      </c>
      <c r="B134" t="s">
        <v>808</v>
      </c>
      <c r="C134" t="s">
        <v>527</v>
      </c>
    </row>
    <row r="135" spans="1:4" x14ac:dyDescent="0.25">
      <c r="A135">
        <v>536</v>
      </c>
      <c r="B135" t="s">
        <v>809</v>
      </c>
      <c r="C135" t="s">
        <v>586</v>
      </c>
      <c r="D135" t="s">
        <v>810</v>
      </c>
    </row>
    <row r="136" spans="1:4" x14ac:dyDescent="0.25">
      <c r="A136">
        <v>537</v>
      </c>
      <c r="B136" s="9" t="s">
        <v>811</v>
      </c>
      <c r="C136" t="s">
        <v>812</v>
      </c>
      <c r="D136" t="s">
        <v>813</v>
      </c>
    </row>
    <row r="137" spans="1:4" x14ac:dyDescent="0.25">
      <c r="A137">
        <v>538</v>
      </c>
      <c r="B137" s="9" t="s">
        <v>814</v>
      </c>
      <c r="C137" t="s">
        <v>539</v>
      </c>
    </row>
    <row r="138" spans="1:4" x14ac:dyDescent="0.25">
      <c r="A138">
        <v>539</v>
      </c>
      <c r="B138" t="s">
        <v>815</v>
      </c>
      <c r="C138" t="s">
        <v>816</v>
      </c>
    </row>
    <row r="139" spans="1:4" x14ac:dyDescent="0.25">
      <c r="A139">
        <v>540</v>
      </c>
      <c r="B139" t="s">
        <v>817</v>
      </c>
      <c r="C139" t="s">
        <v>599</v>
      </c>
    </row>
    <row r="140" spans="1:4" x14ac:dyDescent="0.25">
      <c r="A140">
        <v>541</v>
      </c>
      <c r="B140" t="s">
        <v>818</v>
      </c>
      <c r="C140" t="s">
        <v>819</v>
      </c>
    </row>
    <row r="141" spans="1:4" x14ac:dyDescent="0.25">
      <c r="A141">
        <v>542</v>
      </c>
      <c r="B141" t="s">
        <v>820</v>
      </c>
      <c r="C141" t="s">
        <v>782</v>
      </c>
    </row>
    <row r="142" spans="1:4" x14ac:dyDescent="0.25">
      <c r="A142">
        <v>543</v>
      </c>
      <c r="B142" t="s">
        <v>821</v>
      </c>
      <c r="C142" t="s">
        <v>527</v>
      </c>
    </row>
    <row r="143" spans="1:4" x14ac:dyDescent="0.25">
      <c r="A143">
        <v>544</v>
      </c>
      <c r="B143" t="s">
        <v>822</v>
      </c>
      <c r="C143" t="s">
        <v>758</v>
      </c>
    </row>
    <row r="144" spans="1:4" x14ac:dyDescent="0.25">
      <c r="A144">
        <v>545</v>
      </c>
      <c r="B144" t="s">
        <v>823</v>
      </c>
      <c r="C144" t="s">
        <v>570</v>
      </c>
      <c r="D144" t="s">
        <v>824</v>
      </c>
    </row>
    <row r="145" spans="1:4" x14ac:dyDescent="0.25">
      <c r="A145">
        <v>546</v>
      </c>
      <c r="B145" t="s">
        <v>825</v>
      </c>
      <c r="C145" t="s">
        <v>758</v>
      </c>
      <c r="D145" t="s">
        <v>826</v>
      </c>
    </row>
    <row r="146" spans="1:4" x14ac:dyDescent="0.25">
      <c r="A146">
        <v>547</v>
      </c>
      <c r="B146" t="s">
        <v>827</v>
      </c>
      <c r="C146" t="s">
        <v>527</v>
      </c>
    </row>
    <row r="147" spans="1:4" x14ac:dyDescent="0.25">
      <c r="A147">
        <v>548</v>
      </c>
      <c r="B147" t="s">
        <v>828</v>
      </c>
      <c r="C147" t="s">
        <v>527</v>
      </c>
    </row>
    <row r="148" spans="1:4" x14ac:dyDescent="0.25">
      <c r="A148">
        <v>549</v>
      </c>
      <c r="B148" t="s">
        <v>829</v>
      </c>
      <c r="C148" t="s">
        <v>527</v>
      </c>
    </row>
    <row r="149" spans="1:4" x14ac:dyDescent="0.25">
      <c r="A149">
        <v>550</v>
      </c>
      <c r="B149" t="s">
        <v>830</v>
      </c>
      <c r="C149" t="s">
        <v>527</v>
      </c>
    </row>
    <row r="150" spans="1:4" x14ac:dyDescent="0.25">
      <c r="A150">
        <v>551</v>
      </c>
      <c r="B150" t="s">
        <v>831</v>
      </c>
      <c r="C150" t="s">
        <v>495</v>
      </c>
    </row>
    <row r="151" spans="1:4" x14ac:dyDescent="0.25">
      <c r="A151">
        <v>552</v>
      </c>
      <c r="B151" t="s">
        <v>832</v>
      </c>
      <c r="C151" t="s">
        <v>495</v>
      </c>
    </row>
    <row r="152" spans="1:4" x14ac:dyDescent="0.25">
      <c r="A152">
        <v>553</v>
      </c>
      <c r="B152" t="s">
        <v>833</v>
      </c>
      <c r="C152" t="s">
        <v>495</v>
      </c>
    </row>
    <row r="153" spans="1:4" x14ac:dyDescent="0.25">
      <c r="A153">
        <v>554</v>
      </c>
      <c r="B153" t="s">
        <v>834</v>
      </c>
      <c r="C153" t="s">
        <v>495</v>
      </c>
    </row>
    <row r="154" spans="1:4" x14ac:dyDescent="0.25">
      <c r="A154">
        <v>555</v>
      </c>
      <c r="B154" t="s">
        <v>835</v>
      </c>
      <c r="C154" t="s">
        <v>495</v>
      </c>
    </row>
    <row r="155" spans="1:4" x14ac:dyDescent="0.25">
      <c r="A155">
        <v>556</v>
      </c>
      <c r="B155" t="s">
        <v>836</v>
      </c>
      <c r="C155" t="s">
        <v>539</v>
      </c>
    </row>
    <row r="156" spans="1:4" x14ac:dyDescent="0.25">
      <c r="A156">
        <v>557</v>
      </c>
      <c r="B156" t="s">
        <v>837</v>
      </c>
      <c r="C156" t="s">
        <v>539</v>
      </c>
    </row>
    <row r="157" spans="1:4" x14ac:dyDescent="0.25">
      <c r="A157">
        <v>558</v>
      </c>
      <c r="B157" t="s">
        <v>838</v>
      </c>
      <c r="C157" t="s">
        <v>782</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839</v>
      </c>
      <c r="B1" t="s">
        <v>487</v>
      </c>
      <c r="C1" t="s">
        <v>482</v>
      </c>
      <c r="H1" t="s">
        <v>840</v>
      </c>
      <c r="I1" t="s">
        <v>487</v>
      </c>
      <c r="J1" t="s">
        <v>482</v>
      </c>
      <c r="N1" s="73" t="s">
        <v>841</v>
      </c>
      <c r="O1" s="73"/>
      <c r="P1" s="73"/>
    </row>
    <row r="2" spans="1:16" x14ac:dyDescent="0.25">
      <c r="A2">
        <v>50</v>
      </c>
      <c r="B2" t="s">
        <v>842</v>
      </c>
      <c r="C2" t="s">
        <v>843</v>
      </c>
      <c r="H2">
        <v>87</v>
      </c>
      <c r="I2" t="s">
        <v>842</v>
      </c>
      <c r="J2" t="s">
        <v>843</v>
      </c>
      <c r="N2" t="s">
        <v>839</v>
      </c>
      <c r="O2" t="s">
        <v>487</v>
      </c>
      <c r="P2" t="s">
        <v>493</v>
      </c>
    </row>
    <row r="3" spans="1:16" x14ac:dyDescent="0.25">
      <c r="A3">
        <v>58</v>
      </c>
      <c r="B3" t="s">
        <v>844</v>
      </c>
      <c r="C3" t="s">
        <v>845</v>
      </c>
      <c r="H3">
        <v>88</v>
      </c>
      <c r="I3" t="s">
        <v>846</v>
      </c>
      <c r="N3">
        <v>19</v>
      </c>
      <c r="O3" t="s">
        <v>847</v>
      </c>
      <c r="P3" t="s">
        <v>848</v>
      </c>
    </row>
    <row r="4" spans="1:16" x14ac:dyDescent="0.25">
      <c r="A4">
        <v>59</v>
      </c>
      <c r="B4" t="s">
        <v>849</v>
      </c>
      <c r="C4" t="s">
        <v>850</v>
      </c>
      <c r="H4">
        <v>89</v>
      </c>
      <c r="I4" t="s">
        <v>851</v>
      </c>
      <c r="N4">
        <v>21</v>
      </c>
      <c r="O4" t="s">
        <v>852</v>
      </c>
      <c r="P4" t="s">
        <v>853</v>
      </c>
    </row>
    <row r="5" spans="1:16" x14ac:dyDescent="0.25">
      <c r="A5">
        <v>60</v>
      </c>
      <c r="B5" t="s">
        <v>854</v>
      </c>
      <c r="C5" t="s">
        <v>850</v>
      </c>
      <c r="H5">
        <v>90</v>
      </c>
      <c r="I5" t="s">
        <v>855</v>
      </c>
    </row>
    <row r="6" spans="1:16" x14ac:dyDescent="0.25">
      <c r="A6">
        <v>61</v>
      </c>
      <c r="B6" t="s">
        <v>856</v>
      </c>
      <c r="C6" t="s">
        <v>857</v>
      </c>
      <c r="H6">
        <v>91</v>
      </c>
      <c r="I6" t="s">
        <v>858</v>
      </c>
    </row>
    <row r="7" spans="1:16" x14ac:dyDescent="0.25">
      <c r="A7">
        <v>62</v>
      </c>
      <c r="B7" t="s">
        <v>859</v>
      </c>
      <c r="C7" t="s">
        <v>857</v>
      </c>
      <c r="H7">
        <v>92</v>
      </c>
      <c r="I7" t="s">
        <v>860</v>
      </c>
    </row>
    <row r="8" spans="1:16" x14ac:dyDescent="0.25">
      <c r="A8">
        <v>63</v>
      </c>
      <c r="B8" t="s">
        <v>859</v>
      </c>
      <c r="C8" t="s">
        <v>857</v>
      </c>
      <c r="H8">
        <v>93</v>
      </c>
      <c r="I8" t="s">
        <v>861</v>
      </c>
    </row>
    <row r="9" spans="1:16" x14ac:dyDescent="0.25">
      <c r="A9">
        <v>64</v>
      </c>
      <c r="B9" t="s">
        <v>862</v>
      </c>
      <c r="C9" t="s">
        <v>850</v>
      </c>
      <c r="H9">
        <v>94</v>
      </c>
      <c r="I9" t="s">
        <v>863</v>
      </c>
    </row>
    <row r="10" spans="1:16" x14ac:dyDescent="0.25">
      <c r="A10">
        <v>65</v>
      </c>
      <c r="B10" t="s">
        <v>864</v>
      </c>
      <c r="C10" t="s">
        <v>865</v>
      </c>
      <c r="H10">
        <v>95</v>
      </c>
      <c r="I10" t="s">
        <v>866</v>
      </c>
    </row>
    <row r="11" spans="1:16" x14ac:dyDescent="0.25">
      <c r="A11">
        <v>66</v>
      </c>
      <c r="B11" t="s">
        <v>867</v>
      </c>
      <c r="C11" t="s">
        <v>865</v>
      </c>
      <c r="H11">
        <v>96</v>
      </c>
      <c r="I11" t="s">
        <v>868</v>
      </c>
    </row>
    <row r="12" spans="1:16" x14ac:dyDescent="0.25">
      <c r="A12">
        <v>67</v>
      </c>
      <c r="B12" t="s">
        <v>869</v>
      </c>
      <c r="C12" t="s">
        <v>870</v>
      </c>
      <c r="H12">
        <v>97</v>
      </c>
      <c r="I12" t="s">
        <v>871</v>
      </c>
    </row>
    <row r="13" spans="1:16" x14ac:dyDescent="0.25">
      <c r="A13">
        <v>68</v>
      </c>
      <c r="B13" t="s">
        <v>869</v>
      </c>
      <c r="C13" t="s">
        <v>870</v>
      </c>
      <c r="H13">
        <v>98</v>
      </c>
      <c r="I13" t="s">
        <v>872</v>
      </c>
    </row>
    <row r="14" spans="1:16" x14ac:dyDescent="0.25">
      <c r="A14">
        <v>69</v>
      </c>
      <c r="B14" t="s">
        <v>869</v>
      </c>
      <c r="C14" t="s">
        <v>870</v>
      </c>
      <c r="H14">
        <v>99</v>
      </c>
      <c r="I14" t="s">
        <v>873</v>
      </c>
    </row>
    <row r="15" spans="1:16" x14ac:dyDescent="0.25">
      <c r="A15">
        <v>74</v>
      </c>
      <c r="B15" t="s">
        <v>874</v>
      </c>
      <c r="C15" t="s">
        <v>875</v>
      </c>
      <c r="H15">
        <v>114</v>
      </c>
      <c r="I15" t="s">
        <v>876</v>
      </c>
    </row>
    <row r="16" spans="1:16" x14ac:dyDescent="0.25">
      <c r="A16">
        <v>75</v>
      </c>
      <c r="B16" t="s">
        <v>877</v>
      </c>
      <c r="C16" t="s">
        <v>878</v>
      </c>
      <c r="H16">
        <v>115</v>
      </c>
      <c r="I16" t="s">
        <v>879</v>
      </c>
    </row>
    <row r="17" spans="1:9" x14ac:dyDescent="0.25">
      <c r="A17">
        <v>76</v>
      </c>
      <c r="B17" t="s">
        <v>880</v>
      </c>
      <c r="C17" t="s">
        <v>881</v>
      </c>
      <c r="H17">
        <v>116</v>
      </c>
      <c r="I17" t="s">
        <v>882</v>
      </c>
    </row>
    <row r="18" spans="1:9" x14ac:dyDescent="0.25">
      <c r="A18">
        <v>77</v>
      </c>
      <c r="B18" t="s">
        <v>880</v>
      </c>
      <c r="C18" t="s">
        <v>883</v>
      </c>
      <c r="H18">
        <v>117</v>
      </c>
      <c r="I18" t="s">
        <v>884</v>
      </c>
    </row>
    <row r="19" spans="1:9" x14ac:dyDescent="0.25">
      <c r="A19">
        <v>78</v>
      </c>
      <c r="B19" t="s">
        <v>885</v>
      </c>
      <c r="C19" t="s">
        <v>886</v>
      </c>
      <c r="H19">
        <v>118</v>
      </c>
      <c r="I19" t="s">
        <v>887</v>
      </c>
    </row>
    <row r="20" spans="1:9" x14ac:dyDescent="0.25">
      <c r="A20">
        <v>79</v>
      </c>
      <c r="B20" t="s">
        <v>888</v>
      </c>
      <c r="C20" t="s">
        <v>889</v>
      </c>
      <c r="H20">
        <v>119</v>
      </c>
      <c r="I20" t="s">
        <v>890</v>
      </c>
    </row>
    <row r="21" spans="1:9" x14ac:dyDescent="0.25">
      <c r="A21">
        <v>80</v>
      </c>
      <c r="B21" t="s">
        <v>891</v>
      </c>
      <c r="C21" t="s">
        <v>892</v>
      </c>
      <c r="H21">
        <v>120</v>
      </c>
      <c r="I21" t="s">
        <v>893</v>
      </c>
    </row>
    <row r="22" spans="1:9" x14ac:dyDescent="0.25">
      <c r="A22">
        <v>81</v>
      </c>
      <c r="B22" t="s">
        <v>894</v>
      </c>
      <c r="C22" t="s">
        <v>895</v>
      </c>
      <c r="H22">
        <v>121</v>
      </c>
      <c r="I22" t="s">
        <v>896</v>
      </c>
    </row>
    <row r="23" spans="1:9" x14ac:dyDescent="0.25">
      <c r="A23">
        <v>82</v>
      </c>
      <c r="B23" t="s">
        <v>897</v>
      </c>
      <c r="C23" t="s">
        <v>898</v>
      </c>
      <c r="H23">
        <v>122</v>
      </c>
      <c r="I23" t="s">
        <v>899</v>
      </c>
    </row>
    <row r="24" spans="1:9" x14ac:dyDescent="0.25">
      <c r="A24">
        <v>83</v>
      </c>
      <c r="B24" t="s">
        <v>900</v>
      </c>
      <c r="C24" t="s">
        <v>901</v>
      </c>
      <c r="H24">
        <v>123</v>
      </c>
      <c r="I24" t="s">
        <v>902</v>
      </c>
    </row>
    <row r="25" spans="1:9" x14ac:dyDescent="0.25">
      <c r="A25">
        <v>84</v>
      </c>
      <c r="B25" t="s">
        <v>903</v>
      </c>
      <c r="C25" t="s">
        <v>904</v>
      </c>
      <c r="D25" t="s">
        <v>905</v>
      </c>
      <c r="H25">
        <v>124</v>
      </c>
      <c r="I25" t="s">
        <v>906</v>
      </c>
    </row>
    <row r="26" spans="1:9" x14ac:dyDescent="0.25">
      <c r="A26">
        <v>85</v>
      </c>
      <c r="B26" t="s">
        <v>907</v>
      </c>
      <c r="C26" t="s">
        <v>908</v>
      </c>
      <c r="D26" t="s">
        <v>905</v>
      </c>
      <c r="H26">
        <v>125</v>
      </c>
      <c r="I26" t="s">
        <v>909</v>
      </c>
    </row>
    <row r="27" spans="1:9" x14ac:dyDescent="0.25">
      <c r="A27">
        <v>86</v>
      </c>
      <c r="B27" t="s">
        <v>910</v>
      </c>
      <c r="C27" t="s">
        <v>911</v>
      </c>
      <c r="H27">
        <v>126</v>
      </c>
      <c r="I27" t="s">
        <v>912</v>
      </c>
    </row>
    <row r="28" spans="1:9" x14ac:dyDescent="0.25">
      <c r="A28">
        <v>87</v>
      </c>
      <c r="B28" t="s">
        <v>913</v>
      </c>
      <c r="C28" t="s">
        <v>911</v>
      </c>
      <c r="H28">
        <v>127</v>
      </c>
      <c r="I28" t="s">
        <v>914</v>
      </c>
    </row>
    <row r="29" spans="1:9" x14ac:dyDescent="0.25">
      <c r="A29">
        <v>88</v>
      </c>
      <c r="B29" t="s">
        <v>915</v>
      </c>
      <c r="C29" t="s">
        <v>911</v>
      </c>
      <c r="H29">
        <v>128</v>
      </c>
      <c r="I29" t="s">
        <v>916</v>
      </c>
    </row>
    <row r="30" spans="1:9" x14ac:dyDescent="0.25">
      <c r="A30">
        <v>89</v>
      </c>
      <c r="B30" t="s">
        <v>917</v>
      </c>
      <c r="C30" t="s">
        <v>918</v>
      </c>
      <c r="H30">
        <v>129</v>
      </c>
      <c r="I30" t="s">
        <v>919</v>
      </c>
    </row>
    <row r="31" spans="1:9" x14ac:dyDescent="0.25">
      <c r="A31">
        <v>90</v>
      </c>
      <c r="B31" t="s">
        <v>920</v>
      </c>
      <c r="C31" t="s">
        <v>921</v>
      </c>
      <c r="H31">
        <v>130</v>
      </c>
      <c r="I31" t="s">
        <v>922</v>
      </c>
    </row>
    <row r="32" spans="1:9" x14ac:dyDescent="0.25">
      <c r="A32">
        <v>91</v>
      </c>
      <c r="B32" t="s">
        <v>923</v>
      </c>
      <c r="C32" t="s">
        <v>924</v>
      </c>
      <c r="H32">
        <v>131</v>
      </c>
      <c r="I32" t="s">
        <v>925</v>
      </c>
    </row>
    <row r="33" spans="1:9" x14ac:dyDescent="0.25">
      <c r="A33">
        <v>92</v>
      </c>
      <c r="B33" t="s">
        <v>926</v>
      </c>
      <c r="C33" t="s">
        <v>924</v>
      </c>
      <c r="H33">
        <v>132</v>
      </c>
      <c r="I33" t="s">
        <v>927</v>
      </c>
    </row>
    <row r="34" spans="1:9" x14ac:dyDescent="0.25">
      <c r="A34">
        <v>93</v>
      </c>
      <c r="B34" t="s">
        <v>928</v>
      </c>
      <c r="C34" t="s">
        <v>929</v>
      </c>
      <c r="H34">
        <v>133</v>
      </c>
      <c r="I34" t="s">
        <v>930</v>
      </c>
    </row>
    <row r="35" spans="1:9" x14ac:dyDescent="0.25">
      <c r="A35">
        <v>94</v>
      </c>
      <c r="B35" t="s">
        <v>931</v>
      </c>
      <c r="C35" t="s">
        <v>932</v>
      </c>
      <c r="H35">
        <v>134</v>
      </c>
      <c r="I35" t="s">
        <v>933</v>
      </c>
    </row>
    <row r="36" spans="1:9" x14ac:dyDescent="0.25">
      <c r="A36">
        <v>95</v>
      </c>
      <c r="B36" t="s">
        <v>934</v>
      </c>
      <c r="C36" t="s">
        <v>932</v>
      </c>
      <c r="H36">
        <v>135</v>
      </c>
      <c r="I36" t="s">
        <v>935</v>
      </c>
    </row>
    <row r="37" spans="1:9" x14ac:dyDescent="0.25">
      <c r="A37">
        <v>96</v>
      </c>
      <c r="B37" t="s">
        <v>936</v>
      </c>
      <c r="C37" t="s">
        <v>937</v>
      </c>
      <c r="H37">
        <v>136</v>
      </c>
      <c r="I37" t="s">
        <v>938</v>
      </c>
    </row>
    <row r="38" spans="1:9" x14ac:dyDescent="0.25">
      <c r="A38">
        <v>97</v>
      </c>
      <c r="B38" t="s">
        <v>939</v>
      </c>
      <c r="C38" t="s">
        <v>940</v>
      </c>
      <c r="H38">
        <v>137</v>
      </c>
      <c r="I38" t="s">
        <v>941</v>
      </c>
    </row>
    <row r="39" spans="1:9" x14ac:dyDescent="0.25">
      <c r="A39">
        <v>98</v>
      </c>
      <c r="B39" t="s">
        <v>942</v>
      </c>
      <c r="C39" t="s">
        <v>943</v>
      </c>
      <c r="H39">
        <v>138</v>
      </c>
      <c r="I39" t="s">
        <v>944</v>
      </c>
    </row>
    <row r="40" spans="1:9" x14ac:dyDescent="0.25">
      <c r="A40">
        <v>99</v>
      </c>
      <c r="B40" t="s">
        <v>945</v>
      </c>
      <c r="C40" t="s">
        <v>946</v>
      </c>
      <c r="H40">
        <v>139</v>
      </c>
      <c r="I40" t="s">
        <v>947</v>
      </c>
    </row>
    <row r="41" spans="1:9" x14ac:dyDescent="0.25">
      <c r="A41">
        <v>100</v>
      </c>
      <c r="B41" t="s">
        <v>948</v>
      </c>
      <c r="H41">
        <v>140</v>
      </c>
      <c r="I41" t="s">
        <v>949</v>
      </c>
    </row>
    <row r="42" spans="1:9" x14ac:dyDescent="0.25">
      <c r="A42">
        <v>101</v>
      </c>
      <c r="B42" t="s">
        <v>950</v>
      </c>
      <c r="C42" t="s">
        <v>946</v>
      </c>
      <c r="H42">
        <v>141</v>
      </c>
      <c r="I42" t="s">
        <v>951</v>
      </c>
    </row>
    <row r="43" spans="1:9" x14ac:dyDescent="0.25">
      <c r="A43">
        <v>102</v>
      </c>
      <c r="B43" t="s">
        <v>952</v>
      </c>
      <c r="C43" t="s">
        <v>953</v>
      </c>
      <c r="H43">
        <v>142</v>
      </c>
      <c r="I43" t="s">
        <v>954</v>
      </c>
    </row>
    <row r="44" spans="1:9" x14ac:dyDescent="0.25">
      <c r="A44">
        <v>103</v>
      </c>
      <c r="B44" t="s">
        <v>955</v>
      </c>
      <c r="C44" t="s">
        <v>946</v>
      </c>
      <c r="H44">
        <v>143</v>
      </c>
      <c r="I44" t="s">
        <v>956</v>
      </c>
    </row>
    <row r="45" spans="1:9" x14ac:dyDescent="0.25">
      <c r="A45">
        <v>104</v>
      </c>
      <c r="B45" t="s">
        <v>957</v>
      </c>
      <c r="C45" t="s">
        <v>946</v>
      </c>
      <c r="H45">
        <v>144</v>
      </c>
      <c r="I45" t="s">
        <v>958</v>
      </c>
    </row>
    <row r="46" spans="1:9" x14ac:dyDescent="0.25">
      <c r="A46">
        <v>105</v>
      </c>
      <c r="B46" t="s">
        <v>959</v>
      </c>
      <c r="C46" t="s">
        <v>960</v>
      </c>
      <c r="H46">
        <v>145</v>
      </c>
      <c r="I46" t="s">
        <v>961</v>
      </c>
    </row>
    <row r="47" spans="1:9" x14ac:dyDescent="0.25">
      <c r="A47">
        <v>106</v>
      </c>
      <c r="B47" t="s">
        <v>962</v>
      </c>
      <c r="C47" t="s">
        <v>963</v>
      </c>
      <c r="H47">
        <v>146</v>
      </c>
      <c r="I47" t="s">
        <v>964</v>
      </c>
    </row>
    <row r="48" spans="1:9" x14ac:dyDescent="0.25">
      <c r="A48">
        <v>107</v>
      </c>
      <c r="B48" t="s">
        <v>965</v>
      </c>
      <c r="C48" t="s">
        <v>963</v>
      </c>
      <c r="H48">
        <v>147</v>
      </c>
      <c r="I48" t="s">
        <v>966</v>
      </c>
    </row>
    <row r="49" spans="1:9" x14ac:dyDescent="0.25">
      <c r="A49">
        <v>108</v>
      </c>
      <c r="B49" t="s">
        <v>967</v>
      </c>
      <c r="C49" t="s">
        <v>963</v>
      </c>
      <c r="H49">
        <v>148</v>
      </c>
      <c r="I49" t="s">
        <v>968</v>
      </c>
    </row>
    <row r="50" spans="1:9" x14ac:dyDescent="0.25">
      <c r="A50">
        <v>109</v>
      </c>
      <c r="B50" t="s">
        <v>969</v>
      </c>
      <c r="C50" t="s">
        <v>963</v>
      </c>
      <c r="H50">
        <v>149</v>
      </c>
      <c r="I50" t="s">
        <v>970</v>
      </c>
    </row>
    <row r="51" spans="1:9" x14ac:dyDescent="0.25">
      <c r="A51">
        <v>110</v>
      </c>
      <c r="B51" t="s">
        <v>971</v>
      </c>
      <c r="C51" t="s">
        <v>963</v>
      </c>
      <c r="H51">
        <v>150</v>
      </c>
      <c r="I51" t="s">
        <v>972</v>
      </c>
    </row>
    <row r="52" spans="1:9" x14ac:dyDescent="0.25">
      <c r="A52">
        <v>111</v>
      </c>
      <c r="B52" t="s">
        <v>973</v>
      </c>
      <c r="C52" t="s">
        <v>974</v>
      </c>
      <c r="H52">
        <v>151</v>
      </c>
      <c r="I52" t="s">
        <v>975</v>
      </c>
    </row>
    <row r="53" spans="1:9" x14ac:dyDescent="0.25">
      <c r="A53">
        <v>112</v>
      </c>
      <c r="B53" s="10" t="s">
        <v>976</v>
      </c>
      <c r="H53">
        <v>152</v>
      </c>
      <c r="I53" t="s">
        <v>977</v>
      </c>
    </row>
    <row r="54" spans="1:9" x14ac:dyDescent="0.25">
      <c r="A54">
        <v>113</v>
      </c>
      <c r="B54" s="10" t="s">
        <v>978</v>
      </c>
      <c r="H54">
        <v>153</v>
      </c>
      <c r="I54" t="s">
        <v>979</v>
      </c>
    </row>
    <row r="55" spans="1:9" x14ac:dyDescent="0.25">
      <c r="H55">
        <v>154</v>
      </c>
      <c r="I55" t="s">
        <v>980</v>
      </c>
    </row>
    <row r="56" spans="1:9" x14ac:dyDescent="0.25">
      <c r="H56">
        <v>155</v>
      </c>
      <c r="I56" t="s">
        <v>981</v>
      </c>
    </row>
    <row r="57" spans="1:9" x14ac:dyDescent="0.25">
      <c r="H57">
        <v>156</v>
      </c>
      <c r="I57" t="s">
        <v>982</v>
      </c>
    </row>
    <row r="58" spans="1:9" x14ac:dyDescent="0.25">
      <c r="H58">
        <v>157</v>
      </c>
      <c r="I58" t="s">
        <v>983</v>
      </c>
    </row>
    <row r="59" spans="1:9" x14ac:dyDescent="0.25">
      <c r="H59">
        <v>158</v>
      </c>
      <c r="I59" t="s">
        <v>984</v>
      </c>
    </row>
    <row r="60" spans="1:9" x14ac:dyDescent="0.25">
      <c r="H60">
        <v>159</v>
      </c>
      <c r="I60" t="s">
        <v>985</v>
      </c>
    </row>
    <row r="61" spans="1:9" x14ac:dyDescent="0.25">
      <c r="H61">
        <v>160</v>
      </c>
      <c r="I61" t="s">
        <v>986</v>
      </c>
    </row>
    <row r="62" spans="1:9" x14ac:dyDescent="0.25">
      <c r="H62">
        <v>161</v>
      </c>
      <c r="I62" t="s">
        <v>987</v>
      </c>
    </row>
    <row r="63" spans="1:9" x14ac:dyDescent="0.25">
      <c r="H63">
        <v>162</v>
      </c>
      <c r="I63" t="s">
        <v>988</v>
      </c>
    </row>
    <row r="64" spans="1:9" x14ac:dyDescent="0.25">
      <c r="H64">
        <v>163</v>
      </c>
      <c r="I64" t="s">
        <v>989</v>
      </c>
    </row>
    <row r="65" spans="8:9" x14ac:dyDescent="0.25">
      <c r="H65">
        <v>164</v>
      </c>
      <c r="I65" t="s">
        <v>990</v>
      </c>
    </row>
    <row r="66" spans="8:9" x14ac:dyDescent="0.25">
      <c r="H66">
        <v>165</v>
      </c>
      <c r="I66" t="s">
        <v>991</v>
      </c>
    </row>
    <row r="67" spans="8:9" x14ac:dyDescent="0.25">
      <c r="H67">
        <v>166</v>
      </c>
      <c r="I67" t="s">
        <v>992</v>
      </c>
    </row>
    <row r="68" spans="8:9" x14ac:dyDescent="0.25">
      <c r="H68">
        <v>167</v>
      </c>
      <c r="I68" t="s">
        <v>976</v>
      </c>
    </row>
    <row r="69" spans="8:9" x14ac:dyDescent="0.25">
      <c r="H69">
        <v>168</v>
      </c>
      <c r="I69" t="s">
        <v>978</v>
      </c>
    </row>
    <row r="70" spans="8:9" x14ac:dyDescent="0.25">
      <c r="H70">
        <v>169</v>
      </c>
      <c r="I70" t="s">
        <v>993</v>
      </c>
    </row>
    <row r="71" spans="8:9" x14ac:dyDescent="0.25">
      <c r="H71">
        <v>170</v>
      </c>
      <c r="I71" t="s">
        <v>2229</v>
      </c>
    </row>
    <row r="72" spans="8:9" x14ac:dyDescent="0.25">
      <c r="H72">
        <v>171</v>
      </c>
      <c r="I72" t="s">
        <v>2230</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7"/>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486</v>
      </c>
      <c r="B1" s="11" t="s">
        <v>487</v>
      </c>
      <c r="C1" s="11" t="s">
        <v>488</v>
      </c>
      <c r="D1" s="11" t="s">
        <v>482</v>
      </c>
    </row>
    <row r="2" spans="1:4" x14ac:dyDescent="0.25">
      <c r="A2">
        <v>370</v>
      </c>
      <c r="B2" t="s">
        <v>994</v>
      </c>
      <c r="C2" t="s">
        <v>995</v>
      </c>
      <c r="D2" t="s">
        <v>996</v>
      </c>
    </row>
    <row r="3" spans="1:4" x14ac:dyDescent="0.25">
      <c r="A3">
        <v>371</v>
      </c>
      <c r="B3" t="s">
        <v>997</v>
      </c>
      <c r="C3" t="s">
        <v>995</v>
      </c>
      <c r="D3" t="s">
        <v>998</v>
      </c>
    </row>
    <row r="4" spans="1:4" x14ac:dyDescent="0.25">
      <c r="A4">
        <v>372</v>
      </c>
      <c r="B4" t="s">
        <v>999</v>
      </c>
      <c r="C4" t="s">
        <v>1000</v>
      </c>
      <c r="D4" t="s">
        <v>1001</v>
      </c>
    </row>
    <row r="5" spans="1:4" x14ac:dyDescent="0.25">
      <c r="A5">
        <v>373</v>
      </c>
      <c r="B5" t="s">
        <v>1002</v>
      </c>
      <c r="C5" t="s">
        <v>995</v>
      </c>
      <c r="D5" t="s">
        <v>1003</v>
      </c>
    </row>
    <row r="6" spans="1:4" x14ac:dyDescent="0.25">
      <c r="A6">
        <v>374</v>
      </c>
      <c r="B6" t="s">
        <v>1004</v>
      </c>
      <c r="C6" t="s">
        <v>1000</v>
      </c>
      <c r="D6" t="s">
        <v>1005</v>
      </c>
    </row>
    <row r="7" spans="1:4" x14ac:dyDescent="0.25">
      <c r="A7">
        <v>375</v>
      </c>
      <c r="B7" t="s">
        <v>1006</v>
      </c>
      <c r="C7" t="s">
        <v>995</v>
      </c>
      <c r="D7" t="s">
        <v>1007</v>
      </c>
    </row>
    <row r="8" spans="1:4" x14ac:dyDescent="0.25">
      <c r="A8">
        <v>376</v>
      </c>
      <c r="B8" t="s">
        <v>1008</v>
      </c>
      <c r="C8" t="s">
        <v>995</v>
      </c>
      <c r="D8" t="s">
        <v>1009</v>
      </c>
    </row>
    <row r="9" spans="1:4" x14ac:dyDescent="0.25">
      <c r="A9">
        <v>377</v>
      </c>
      <c r="B9" t="s">
        <v>1010</v>
      </c>
      <c r="C9" t="s">
        <v>1000</v>
      </c>
      <c r="D9" t="s">
        <v>1011</v>
      </c>
    </row>
    <row r="10" spans="1:4" x14ac:dyDescent="0.25">
      <c r="A10">
        <v>378</v>
      </c>
      <c r="B10" t="s">
        <v>1012</v>
      </c>
      <c r="C10" t="s">
        <v>1000</v>
      </c>
      <c r="D10" t="s">
        <v>1013</v>
      </c>
    </row>
    <row r="11" spans="1:4" x14ac:dyDescent="0.25">
      <c r="A11">
        <v>379</v>
      </c>
      <c r="B11" t="s">
        <v>1014</v>
      </c>
      <c r="C11" t="s">
        <v>1000</v>
      </c>
      <c r="D11" t="s">
        <v>1015</v>
      </c>
    </row>
    <row r="12" spans="1:4" x14ac:dyDescent="0.25">
      <c r="A12">
        <v>380</v>
      </c>
      <c r="B12" t="s">
        <v>1016</v>
      </c>
      <c r="C12" t="s">
        <v>1000</v>
      </c>
      <c r="D12" t="s">
        <v>1017</v>
      </c>
    </row>
    <row r="13" spans="1:4" x14ac:dyDescent="0.25">
      <c r="A13">
        <v>381</v>
      </c>
      <c r="B13" t="s">
        <v>1018</v>
      </c>
      <c r="C13" t="s">
        <v>995</v>
      </c>
      <c r="D13" t="s">
        <v>1019</v>
      </c>
    </row>
    <row r="14" spans="1:4" x14ac:dyDescent="0.25">
      <c r="A14">
        <v>382</v>
      </c>
      <c r="B14" t="s">
        <v>1020</v>
      </c>
      <c r="C14" t="s">
        <v>1000</v>
      </c>
      <c r="D14" t="s">
        <v>1021</v>
      </c>
    </row>
    <row r="15" spans="1:4" x14ac:dyDescent="0.25">
      <c r="A15">
        <v>383</v>
      </c>
      <c r="B15" t="s">
        <v>1022</v>
      </c>
      <c r="C15" t="s">
        <v>995</v>
      </c>
      <c r="D15" t="s">
        <v>1023</v>
      </c>
    </row>
    <row r="16" spans="1:4" x14ac:dyDescent="0.25">
      <c r="A16">
        <v>384</v>
      </c>
      <c r="B16" t="s">
        <v>1024</v>
      </c>
      <c r="C16" t="s">
        <v>1000</v>
      </c>
      <c r="D16" t="s">
        <v>1025</v>
      </c>
    </row>
    <row r="17" spans="1:4" x14ac:dyDescent="0.25">
      <c r="A17">
        <v>456</v>
      </c>
      <c r="B17" t="s">
        <v>1026</v>
      </c>
      <c r="C17" t="s">
        <v>995</v>
      </c>
      <c r="D17" t="s">
        <v>1027</v>
      </c>
    </row>
    <row r="18" spans="1:4" x14ac:dyDescent="0.25">
      <c r="A18">
        <v>457</v>
      </c>
      <c r="B18" t="s">
        <v>1028</v>
      </c>
      <c r="C18" t="s">
        <v>995</v>
      </c>
      <c r="D18" t="s">
        <v>1029</v>
      </c>
    </row>
    <row r="19" spans="1:4" x14ac:dyDescent="0.25">
      <c r="A19">
        <v>458</v>
      </c>
      <c r="B19" t="s">
        <v>1030</v>
      </c>
      <c r="C19" t="s">
        <v>995</v>
      </c>
      <c r="D19" t="s">
        <v>1031</v>
      </c>
    </row>
    <row r="20" spans="1:4" x14ac:dyDescent="0.25">
      <c r="A20">
        <v>459</v>
      </c>
      <c r="B20" t="s">
        <v>1032</v>
      </c>
      <c r="C20" t="s">
        <v>1000</v>
      </c>
      <c r="D20" t="s">
        <v>1033</v>
      </c>
    </row>
    <row r="21" spans="1:4" x14ac:dyDescent="0.25">
      <c r="A21">
        <v>460</v>
      </c>
      <c r="B21" t="s">
        <v>1034</v>
      </c>
      <c r="C21" t="s">
        <v>1000</v>
      </c>
      <c r="D21" t="s">
        <v>1033</v>
      </c>
    </row>
    <row r="22" spans="1:4" x14ac:dyDescent="0.25">
      <c r="A22">
        <v>461</v>
      </c>
      <c r="B22" t="s">
        <v>1035</v>
      </c>
      <c r="C22" t="s">
        <v>1000</v>
      </c>
      <c r="D22" t="s">
        <v>1036</v>
      </c>
    </row>
    <row r="23" spans="1:4" x14ac:dyDescent="0.25">
      <c r="A23">
        <v>462</v>
      </c>
      <c r="B23" t="s">
        <v>1037</v>
      </c>
      <c r="C23" t="s">
        <v>1000</v>
      </c>
      <c r="D23" t="s">
        <v>1038</v>
      </c>
    </row>
    <row r="24" spans="1:4" x14ac:dyDescent="0.25">
      <c r="A24">
        <v>463</v>
      </c>
      <c r="B24" t="s">
        <v>1039</v>
      </c>
      <c r="C24" t="s">
        <v>1000</v>
      </c>
      <c r="D24" t="s">
        <v>1040</v>
      </c>
    </row>
    <row r="25" spans="1:4" x14ac:dyDescent="0.25">
      <c r="A25">
        <v>464</v>
      </c>
      <c r="B25" t="s">
        <v>1041</v>
      </c>
      <c r="C25" t="s">
        <v>995</v>
      </c>
      <c r="D25" t="s">
        <v>1042</v>
      </c>
    </row>
    <row r="26" spans="1:4" x14ac:dyDescent="0.25">
      <c r="A26">
        <v>465</v>
      </c>
      <c r="B26" t="s">
        <v>1043</v>
      </c>
      <c r="C26" t="s">
        <v>1000</v>
      </c>
      <c r="D26" t="s">
        <v>1044</v>
      </c>
    </row>
    <row r="27" spans="1:4" x14ac:dyDescent="0.25">
      <c r="A27">
        <v>466</v>
      </c>
      <c r="B27" t="s">
        <v>1045</v>
      </c>
      <c r="C27" t="s">
        <v>1000</v>
      </c>
      <c r="D27" t="s">
        <v>1046</v>
      </c>
    </row>
    <row r="28" spans="1:4" x14ac:dyDescent="0.25">
      <c r="A28">
        <v>467</v>
      </c>
      <c r="B28" t="s">
        <v>1047</v>
      </c>
      <c r="C28" t="s">
        <v>995</v>
      </c>
      <c r="D28" t="s">
        <v>1048</v>
      </c>
    </row>
    <row r="29" spans="1:4" x14ac:dyDescent="0.25">
      <c r="A29">
        <v>468</v>
      </c>
      <c r="B29" t="s">
        <v>1049</v>
      </c>
      <c r="C29" t="s">
        <v>995</v>
      </c>
    </row>
    <row r="30" spans="1:4" x14ac:dyDescent="0.25">
      <c r="A30">
        <v>469</v>
      </c>
      <c r="B30" t="s">
        <v>1050</v>
      </c>
      <c r="C30" t="s">
        <v>1000</v>
      </c>
    </row>
    <row r="31" spans="1:4" x14ac:dyDescent="0.25">
      <c r="A31">
        <v>470</v>
      </c>
      <c r="B31" t="s">
        <v>1051</v>
      </c>
      <c r="C31" t="s">
        <v>1000</v>
      </c>
    </row>
    <row r="32" spans="1:4" x14ac:dyDescent="0.25">
      <c r="A32">
        <v>471</v>
      </c>
      <c r="B32" t="s">
        <v>1052</v>
      </c>
      <c r="C32" t="s">
        <v>1000</v>
      </c>
      <c r="D32" t="s">
        <v>1053</v>
      </c>
    </row>
    <row r="33" spans="1:4" x14ac:dyDescent="0.25">
      <c r="A33">
        <v>472</v>
      </c>
      <c r="B33" t="s">
        <v>1052</v>
      </c>
      <c r="C33" t="s">
        <v>1000</v>
      </c>
      <c r="D33" t="s">
        <v>1054</v>
      </c>
    </row>
    <row r="34" spans="1:4" x14ac:dyDescent="0.25">
      <c r="A34">
        <v>473</v>
      </c>
      <c r="B34" t="s">
        <v>1055</v>
      </c>
      <c r="C34" t="s">
        <v>1000</v>
      </c>
    </row>
    <row r="35" spans="1:4" x14ac:dyDescent="0.25">
      <c r="A35">
        <v>474</v>
      </c>
      <c r="B35" t="s">
        <v>1056</v>
      </c>
      <c r="C35" t="s">
        <v>1000</v>
      </c>
      <c r="D35" t="s">
        <v>1057</v>
      </c>
    </row>
    <row r="36" spans="1:4" x14ac:dyDescent="0.25">
      <c r="A36">
        <v>475</v>
      </c>
      <c r="B36" t="s">
        <v>1058</v>
      </c>
      <c r="C36" t="s">
        <v>1000</v>
      </c>
      <c r="D36" t="s">
        <v>1059</v>
      </c>
    </row>
    <row r="37" spans="1:4" x14ac:dyDescent="0.25">
      <c r="A37">
        <v>476</v>
      </c>
      <c r="B37" t="s">
        <v>1060</v>
      </c>
      <c r="C37" t="s">
        <v>995</v>
      </c>
      <c r="D37" t="s">
        <v>1061</v>
      </c>
    </row>
    <row r="38" spans="1:4" x14ac:dyDescent="0.25">
      <c r="A38">
        <v>477</v>
      </c>
      <c r="B38" t="s">
        <v>1062</v>
      </c>
      <c r="C38" t="s">
        <v>995</v>
      </c>
      <c r="D38" t="s">
        <v>1063</v>
      </c>
    </row>
    <row r="39" spans="1:4" x14ac:dyDescent="0.25">
      <c r="A39">
        <v>478</v>
      </c>
      <c r="B39" t="s">
        <v>1064</v>
      </c>
      <c r="C39" t="s">
        <v>1000</v>
      </c>
      <c r="D39" t="s">
        <v>1065</v>
      </c>
    </row>
    <row r="40" spans="1:4" x14ac:dyDescent="0.25">
      <c r="A40">
        <v>479</v>
      </c>
      <c r="B40" t="s">
        <v>1066</v>
      </c>
      <c r="C40" t="s">
        <v>1000</v>
      </c>
      <c r="D40" t="s">
        <v>1067</v>
      </c>
    </row>
    <row r="41" spans="1:4" x14ac:dyDescent="0.25">
      <c r="A41">
        <v>480</v>
      </c>
      <c r="B41" t="s">
        <v>1068</v>
      </c>
      <c r="C41" t="s">
        <v>995</v>
      </c>
    </row>
    <row r="42" spans="1:4" x14ac:dyDescent="0.25">
      <c r="A42">
        <v>481</v>
      </c>
      <c r="B42" t="s">
        <v>1069</v>
      </c>
      <c r="C42" t="s">
        <v>995</v>
      </c>
    </row>
    <row r="43" spans="1:4" x14ac:dyDescent="0.25">
      <c r="A43">
        <v>482</v>
      </c>
      <c r="B43" t="s">
        <v>1070</v>
      </c>
      <c r="C43" t="s">
        <v>995</v>
      </c>
    </row>
    <row r="44" spans="1:4" x14ac:dyDescent="0.25">
      <c r="A44">
        <v>483</v>
      </c>
      <c r="B44" t="s">
        <v>1071</v>
      </c>
      <c r="C44" t="s">
        <v>1000</v>
      </c>
    </row>
    <row r="45" spans="1:4" x14ac:dyDescent="0.25">
      <c r="A45">
        <v>484</v>
      </c>
      <c r="B45" t="s">
        <v>1072</v>
      </c>
      <c r="C45" t="s">
        <v>1000</v>
      </c>
    </row>
    <row r="46" spans="1:4" x14ac:dyDescent="0.25">
      <c r="A46">
        <v>485</v>
      </c>
      <c r="B46" t="s">
        <v>1073</v>
      </c>
      <c r="C46" t="s">
        <v>1000</v>
      </c>
    </row>
    <row r="47" spans="1:4" x14ac:dyDescent="0.25">
      <c r="A47">
        <v>486</v>
      </c>
      <c r="B47" t="s">
        <v>1074</v>
      </c>
      <c r="C47" t="s">
        <v>1000</v>
      </c>
      <c r="D47" t="s">
        <v>1075</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2"/>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1076</v>
      </c>
      <c r="B1" s="12" t="s">
        <v>1077</v>
      </c>
      <c r="D1" s="12" t="s">
        <v>1078</v>
      </c>
      <c r="E1" s="12" t="s">
        <v>1077</v>
      </c>
      <c r="F1" s="12" t="s">
        <v>1079</v>
      </c>
    </row>
    <row r="2" spans="1:6" x14ac:dyDescent="0.25">
      <c r="A2">
        <v>20</v>
      </c>
      <c r="B2" t="s">
        <v>1080</v>
      </c>
      <c r="D2">
        <v>2</v>
      </c>
      <c r="E2" t="s">
        <v>1081</v>
      </c>
      <c r="F2" t="s">
        <v>1082</v>
      </c>
    </row>
    <row r="3" spans="1:6" x14ac:dyDescent="0.25">
      <c r="A3">
        <v>36</v>
      </c>
      <c r="B3" t="s">
        <v>1083</v>
      </c>
      <c r="D3">
        <v>13</v>
      </c>
      <c r="E3" t="s">
        <v>1084</v>
      </c>
      <c r="F3" t="s">
        <v>1085</v>
      </c>
    </row>
    <row r="4" spans="1:6" x14ac:dyDescent="0.25">
      <c r="A4">
        <v>37</v>
      </c>
      <c r="B4" t="s">
        <v>1086</v>
      </c>
      <c r="D4">
        <v>31</v>
      </c>
      <c r="E4" t="s">
        <v>1004</v>
      </c>
      <c r="F4" t="s">
        <v>1087</v>
      </c>
    </row>
    <row r="5" spans="1:6" x14ac:dyDescent="0.25">
      <c r="A5">
        <v>38</v>
      </c>
      <c r="B5" t="s">
        <v>1088</v>
      </c>
      <c r="D5">
        <v>3</v>
      </c>
      <c r="E5" t="s">
        <v>1089</v>
      </c>
      <c r="F5" t="s">
        <v>1090</v>
      </c>
    </row>
    <row r="6" spans="1:6" x14ac:dyDescent="0.25">
      <c r="A6">
        <v>39</v>
      </c>
      <c r="B6" t="s">
        <v>1091</v>
      </c>
      <c r="D6">
        <v>35</v>
      </c>
      <c r="E6" t="s">
        <v>1092</v>
      </c>
      <c r="F6" t="s">
        <v>1093</v>
      </c>
    </row>
    <row r="7" spans="1:6" x14ac:dyDescent="0.25">
      <c r="A7">
        <v>40</v>
      </c>
      <c r="B7" t="s">
        <v>1094</v>
      </c>
      <c r="D7">
        <v>5</v>
      </c>
      <c r="E7" t="s">
        <v>1095</v>
      </c>
      <c r="F7" t="s">
        <v>1096</v>
      </c>
    </row>
    <row r="8" spans="1:6" x14ac:dyDescent="0.25">
      <c r="A8">
        <v>41</v>
      </c>
      <c r="B8" t="s">
        <v>1097</v>
      </c>
      <c r="D8">
        <v>14</v>
      </c>
      <c r="E8" t="s">
        <v>1098</v>
      </c>
      <c r="F8" t="s">
        <v>1096</v>
      </c>
    </row>
    <row r="9" spans="1:6" x14ac:dyDescent="0.25">
      <c r="A9">
        <v>42</v>
      </c>
      <c r="B9" t="s">
        <v>1099</v>
      </c>
      <c r="D9">
        <v>29</v>
      </c>
      <c r="E9" t="s">
        <v>1100</v>
      </c>
      <c r="F9" t="s">
        <v>1101</v>
      </c>
    </row>
    <row r="10" spans="1:6" x14ac:dyDescent="0.25">
      <c r="A10">
        <v>43</v>
      </c>
      <c r="B10" t="s">
        <v>1102</v>
      </c>
    </row>
    <row r="11" spans="1:6" x14ac:dyDescent="0.25">
      <c r="A11">
        <v>44</v>
      </c>
      <c r="B11" t="s">
        <v>1103</v>
      </c>
    </row>
    <row r="12" spans="1:6" x14ac:dyDescent="0.25">
      <c r="A12">
        <v>45</v>
      </c>
      <c r="B12" t="s">
        <v>1104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3"/>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486</v>
      </c>
      <c r="B1" t="s">
        <v>487</v>
      </c>
      <c r="C1" t="s">
        <v>482</v>
      </c>
      <c r="F1" s="13"/>
      <c r="G1" s="14"/>
    </row>
    <row r="2" spans="1:7" x14ac:dyDescent="0.25">
      <c r="A2" s="13">
        <v>45</v>
      </c>
      <c r="B2" s="14" t="s">
        <v>1105</v>
      </c>
      <c r="C2" s="9" t="s">
        <v>1106</v>
      </c>
      <c r="F2" s="15"/>
      <c r="G2" s="14"/>
    </row>
    <row r="3" spans="1:7" x14ac:dyDescent="0.25">
      <c r="A3" s="15">
        <v>57</v>
      </c>
      <c r="B3" s="14" t="s">
        <v>1105</v>
      </c>
      <c r="C3" s="9" t="s">
        <v>1107</v>
      </c>
      <c r="F3" s="13"/>
    </row>
    <row r="4" spans="1:7" x14ac:dyDescent="0.25">
      <c r="A4" s="13">
        <v>71</v>
      </c>
      <c r="B4" t="s">
        <v>1105</v>
      </c>
      <c r="C4" t="s">
        <v>1108</v>
      </c>
      <c r="F4" s="13"/>
    </row>
    <row r="5" spans="1:7" x14ac:dyDescent="0.25">
      <c r="A5" s="13">
        <v>77</v>
      </c>
      <c r="B5" s="14" t="s">
        <v>1105</v>
      </c>
      <c r="C5" s="9" t="s">
        <v>1109</v>
      </c>
      <c r="F5" s="13"/>
      <c r="G5" s="14"/>
    </row>
    <row r="6" spans="1:7" x14ac:dyDescent="0.25">
      <c r="A6" s="13">
        <v>112</v>
      </c>
      <c r="B6" s="14" t="s">
        <v>1105</v>
      </c>
      <c r="C6" s="9" t="s">
        <v>1109</v>
      </c>
      <c r="F6" s="15"/>
      <c r="G6" s="14"/>
    </row>
    <row r="7" spans="1:7" x14ac:dyDescent="0.25">
      <c r="A7" s="15">
        <v>117</v>
      </c>
      <c r="B7" t="s">
        <v>1105</v>
      </c>
      <c r="C7" s="9" t="s">
        <v>1110</v>
      </c>
      <c r="F7" s="13"/>
      <c r="G7" s="14"/>
    </row>
    <row r="8" spans="1:7" x14ac:dyDescent="0.25">
      <c r="A8" s="15">
        <v>118</v>
      </c>
      <c r="B8" t="s">
        <v>1105</v>
      </c>
      <c r="C8" t="s">
        <v>1111</v>
      </c>
      <c r="F8" s="13"/>
      <c r="G8" s="14"/>
    </row>
    <row r="9" spans="1:7" x14ac:dyDescent="0.25">
      <c r="A9" s="13">
        <v>135</v>
      </c>
      <c r="B9" s="14" t="s">
        <v>1105</v>
      </c>
      <c r="C9" s="9" t="s">
        <v>1109</v>
      </c>
      <c r="F9" s="13"/>
      <c r="G9" s="14"/>
    </row>
    <row r="10" spans="1:7" x14ac:dyDescent="0.25">
      <c r="A10" s="13">
        <v>139</v>
      </c>
      <c r="B10" s="14" t="s">
        <v>1105</v>
      </c>
      <c r="C10" s="9" t="s">
        <v>1109</v>
      </c>
      <c r="F10" s="13"/>
      <c r="G10" s="14"/>
    </row>
    <row r="11" spans="1:7" ht="75" x14ac:dyDescent="0.25">
      <c r="A11" s="13">
        <v>157</v>
      </c>
      <c r="B11" s="14" t="s">
        <v>1112</v>
      </c>
      <c r="C11" s="9" t="s">
        <v>1113</v>
      </c>
      <c r="F11" s="13"/>
      <c r="G11" s="14"/>
    </row>
    <row r="12" spans="1:7" x14ac:dyDescent="0.25">
      <c r="A12" s="13">
        <v>163</v>
      </c>
      <c r="B12" s="14" t="s">
        <v>1105</v>
      </c>
      <c r="C12" s="9" t="s">
        <v>1114</v>
      </c>
      <c r="G12" s="14"/>
    </row>
    <row r="13" spans="1:7" ht="30" x14ac:dyDescent="0.25">
      <c r="A13" s="13">
        <v>198</v>
      </c>
      <c r="B13" s="14" t="s">
        <v>1115</v>
      </c>
      <c r="C13" s="9" t="s">
        <v>1116</v>
      </c>
      <c r="F13" s="13"/>
      <c r="G13" s="14"/>
    </row>
    <row r="14" spans="1:7" x14ac:dyDescent="0.25">
      <c r="A14" s="15">
        <v>203</v>
      </c>
      <c r="B14" t="s">
        <v>1105</v>
      </c>
      <c r="C14" s="9" t="s">
        <v>1117</v>
      </c>
      <c r="F14" s="15"/>
      <c r="G14" s="14"/>
    </row>
    <row r="15" spans="1:7" x14ac:dyDescent="0.25">
      <c r="A15" s="13">
        <v>244</v>
      </c>
      <c r="B15" s="14" t="s">
        <v>1105</v>
      </c>
      <c r="C15" s="9" t="s">
        <v>1109</v>
      </c>
      <c r="F15" s="13"/>
      <c r="G15" s="14"/>
    </row>
    <row r="16" spans="1:7" x14ac:dyDescent="0.25">
      <c r="A16" s="15">
        <v>249</v>
      </c>
      <c r="B16" t="s">
        <v>1105</v>
      </c>
      <c r="C16" s="9" t="s">
        <v>1118</v>
      </c>
      <c r="F16" s="13"/>
    </row>
    <row r="17" spans="1:7" x14ac:dyDescent="0.25">
      <c r="A17" s="13">
        <v>257</v>
      </c>
      <c r="B17" t="s">
        <v>1119</v>
      </c>
      <c r="C17" t="s">
        <v>1120</v>
      </c>
      <c r="F17" s="13"/>
    </row>
    <row r="18" spans="1:7" x14ac:dyDescent="0.25">
      <c r="A18" s="13">
        <v>258</v>
      </c>
      <c r="B18" t="s">
        <v>1121</v>
      </c>
      <c r="C18" t="s">
        <v>1122</v>
      </c>
      <c r="F18" s="13"/>
      <c r="G18" s="14"/>
    </row>
    <row r="19" spans="1:7" x14ac:dyDescent="0.25">
      <c r="A19" s="13">
        <v>259</v>
      </c>
      <c r="B19" s="14" t="s">
        <v>1123</v>
      </c>
      <c r="C19" s="9" t="s">
        <v>1124</v>
      </c>
      <c r="F19" s="13"/>
      <c r="G19" s="14"/>
    </row>
    <row r="20" spans="1:7" x14ac:dyDescent="0.25">
      <c r="A20" s="13">
        <v>262</v>
      </c>
      <c r="B20" s="14" t="s">
        <v>1125</v>
      </c>
      <c r="C20" s="9" t="s">
        <v>1124</v>
      </c>
      <c r="F20" s="13"/>
    </row>
    <row r="21" spans="1:7" ht="45" x14ac:dyDescent="0.25">
      <c r="A21" s="13">
        <v>263</v>
      </c>
      <c r="B21" s="14" t="s">
        <v>1089</v>
      </c>
      <c r="C21" s="9" t="s">
        <v>1126</v>
      </c>
      <c r="F21" s="13"/>
    </row>
    <row r="22" spans="1:7" x14ac:dyDescent="0.25">
      <c r="A22" s="13">
        <v>273</v>
      </c>
      <c r="B22" s="14" t="s">
        <v>1127</v>
      </c>
      <c r="C22" s="9" t="s">
        <v>1128</v>
      </c>
      <c r="F22" s="15"/>
    </row>
    <row r="23" spans="1:7" ht="30" x14ac:dyDescent="0.25">
      <c r="A23" s="13">
        <v>421</v>
      </c>
      <c r="B23" s="14" t="s">
        <v>1129</v>
      </c>
      <c r="C23" s="9" t="s">
        <v>1130</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2"/>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486</v>
      </c>
      <c r="B1" t="s">
        <v>487</v>
      </c>
      <c r="C1" t="s">
        <v>1131</v>
      </c>
      <c r="D1" t="s">
        <v>482</v>
      </c>
    </row>
    <row r="2" spans="1:4" x14ac:dyDescent="0.25">
      <c r="A2">
        <v>36</v>
      </c>
      <c r="B2" t="s">
        <v>1132</v>
      </c>
      <c r="C2" t="s">
        <v>1133</v>
      </c>
      <c r="D2" t="s">
        <v>1134</v>
      </c>
    </row>
    <row r="3" spans="1:4" x14ac:dyDescent="0.25">
      <c r="A3">
        <v>37</v>
      </c>
      <c r="B3" t="s">
        <v>1135</v>
      </c>
      <c r="C3" t="s">
        <v>1136</v>
      </c>
      <c r="D3" t="s">
        <v>1137</v>
      </c>
    </row>
    <row r="4" spans="1:4" x14ac:dyDescent="0.25">
      <c r="A4">
        <v>38</v>
      </c>
      <c r="B4" t="s">
        <v>1138</v>
      </c>
      <c r="C4" t="s">
        <v>1139</v>
      </c>
    </row>
    <row r="5" spans="1:4" x14ac:dyDescent="0.25">
      <c r="A5">
        <v>39</v>
      </c>
      <c r="B5" t="s">
        <v>1140</v>
      </c>
      <c r="C5" t="s">
        <v>1139</v>
      </c>
    </row>
    <row r="6" spans="1:4" x14ac:dyDescent="0.25">
      <c r="A6">
        <v>40</v>
      </c>
      <c r="B6" t="s">
        <v>1141</v>
      </c>
      <c r="C6" t="s">
        <v>1142</v>
      </c>
      <c r="D6" t="s">
        <v>1143</v>
      </c>
    </row>
    <row r="7" spans="1:4" x14ac:dyDescent="0.25">
      <c r="A7">
        <v>41</v>
      </c>
      <c r="B7" t="s">
        <v>1144</v>
      </c>
      <c r="C7" t="s">
        <v>1145</v>
      </c>
      <c r="D7" t="s">
        <v>1146</v>
      </c>
    </row>
    <row r="8" spans="1:4" x14ac:dyDescent="0.25">
      <c r="A8">
        <v>42</v>
      </c>
      <c r="B8" t="s">
        <v>1147</v>
      </c>
      <c r="C8" t="s">
        <v>1148</v>
      </c>
      <c r="D8" t="s">
        <v>1149</v>
      </c>
    </row>
    <row r="9" spans="1:4" x14ac:dyDescent="0.25">
      <c r="A9">
        <v>43</v>
      </c>
      <c r="B9" t="s">
        <v>1150</v>
      </c>
      <c r="C9" t="s">
        <v>1151</v>
      </c>
      <c r="D9" t="s">
        <v>1152</v>
      </c>
    </row>
    <row r="10" spans="1:4" x14ac:dyDescent="0.25">
      <c r="A10">
        <v>44</v>
      </c>
      <c r="B10" t="s">
        <v>1153</v>
      </c>
      <c r="C10" t="s">
        <v>1151</v>
      </c>
      <c r="D10" t="s">
        <v>1154</v>
      </c>
    </row>
    <row r="11" spans="1:4" x14ac:dyDescent="0.25">
      <c r="A11">
        <v>45</v>
      </c>
      <c r="B11" t="s">
        <v>1155</v>
      </c>
      <c r="C11" t="s">
        <v>1156</v>
      </c>
      <c r="D11" t="s">
        <v>1157</v>
      </c>
    </row>
    <row r="12" spans="1:4" x14ac:dyDescent="0.25">
      <c r="A12">
        <v>46</v>
      </c>
      <c r="B12" t="s">
        <v>1158</v>
      </c>
      <c r="C12" t="s">
        <v>1159</v>
      </c>
      <c r="D12" t="s">
        <v>1160</v>
      </c>
    </row>
    <row r="13" spans="1:4" x14ac:dyDescent="0.25">
      <c r="A13">
        <v>47</v>
      </c>
      <c r="B13" t="s">
        <v>1161</v>
      </c>
      <c r="C13" t="s">
        <v>1162</v>
      </c>
      <c r="D13" t="s">
        <v>1163</v>
      </c>
    </row>
    <row r="14" spans="1:4" x14ac:dyDescent="0.25">
      <c r="A14">
        <v>71</v>
      </c>
      <c r="B14" t="s">
        <v>1164</v>
      </c>
      <c r="C14" t="s">
        <v>1165</v>
      </c>
      <c r="D14" t="s">
        <v>1166</v>
      </c>
    </row>
    <row r="15" spans="1:4" x14ac:dyDescent="0.25">
      <c r="A15">
        <v>72</v>
      </c>
      <c r="B15" t="s">
        <v>1167</v>
      </c>
      <c r="C15" t="s">
        <v>1168</v>
      </c>
      <c r="D15" t="s">
        <v>1169</v>
      </c>
    </row>
    <row r="16" spans="1:4" x14ac:dyDescent="0.25">
      <c r="A16">
        <v>73</v>
      </c>
      <c r="B16" t="s">
        <v>1170</v>
      </c>
      <c r="C16" t="s">
        <v>1171</v>
      </c>
      <c r="D16" t="s">
        <v>1172</v>
      </c>
    </row>
    <row r="17" spans="1:15" x14ac:dyDescent="0.25">
      <c r="A17">
        <v>74</v>
      </c>
      <c r="B17" t="s">
        <v>1173</v>
      </c>
      <c r="C17" t="s">
        <v>1174</v>
      </c>
      <c r="D17" t="s">
        <v>1175</v>
      </c>
    </row>
    <row r="18" spans="1:15" x14ac:dyDescent="0.25">
      <c r="A18">
        <v>75</v>
      </c>
      <c r="B18" t="s">
        <v>1176</v>
      </c>
      <c r="C18" t="s">
        <v>1174</v>
      </c>
      <c r="D18" t="s">
        <v>1177</v>
      </c>
    </row>
    <row r="19" spans="1:15" x14ac:dyDescent="0.25">
      <c r="A19">
        <v>76</v>
      </c>
      <c r="B19" t="s">
        <v>1178</v>
      </c>
      <c r="C19" t="s">
        <v>1179</v>
      </c>
    </row>
    <row r="20" spans="1:15" x14ac:dyDescent="0.25">
      <c r="A20">
        <v>77</v>
      </c>
      <c r="B20" t="s">
        <v>1180</v>
      </c>
      <c r="C20" t="s">
        <v>1179</v>
      </c>
      <c r="L20" s="74" t="s">
        <v>1181</v>
      </c>
      <c r="M20" s="74"/>
      <c r="N20" s="74"/>
      <c r="O20" s="74"/>
    </row>
    <row r="21" spans="1:15" x14ac:dyDescent="0.25">
      <c r="A21">
        <v>78</v>
      </c>
      <c r="B21" t="s">
        <v>1182</v>
      </c>
      <c r="C21" t="s">
        <v>1183</v>
      </c>
      <c r="L21">
        <v>11</v>
      </c>
      <c r="M21" t="s">
        <v>1184</v>
      </c>
      <c r="N21" t="s">
        <v>1185</v>
      </c>
    </row>
    <row r="22" spans="1:15" x14ac:dyDescent="0.25">
      <c r="A22">
        <v>79</v>
      </c>
      <c r="B22" t="s">
        <v>1186</v>
      </c>
      <c r="C22" t="s">
        <v>1187</v>
      </c>
      <c r="L22">
        <v>19</v>
      </c>
      <c r="M22" t="s">
        <v>1188</v>
      </c>
      <c r="N22" t="s">
        <v>1185</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2"/>
  <sheetViews>
    <sheetView tabSelected="1"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486</v>
      </c>
      <c r="B1" t="s">
        <v>1131</v>
      </c>
      <c r="C1" t="s">
        <v>1189</v>
      </c>
      <c r="E1" s="69" t="s">
        <v>1190</v>
      </c>
      <c r="F1" s="69"/>
    </row>
    <row r="2" spans="1:7" x14ac:dyDescent="0.25">
      <c r="A2" s="16">
        <v>132</v>
      </c>
      <c r="B2" t="s">
        <v>1139</v>
      </c>
      <c r="C2" t="s">
        <v>1191</v>
      </c>
      <c r="E2" t="s">
        <v>486</v>
      </c>
      <c r="F2" t="s">
        <v>1131</v>
      </c>
      <c r="G2" t="s">
        <v>493</v>
      </c>
    </row>
    <row r="3" spans="1:7" x14ac:dyDescent="0.25">
      <c r="A3" s="16">
        <v>133</v>
      </c>
      <c r="B3" t="s">
        <v>1192</v>
      </c>
      <c r="C3" t="s">
        <v>1193</v>
      </c>
      <c r="E3">
        <v>12</v>
      </c>
      <c r="F3" t="s">
        <v>1194</v>
      </c>
      <c r="G3" t="s">
        <v>1195</v>
      </c>
    </row>
    <row r="4" spans="1:7" x14ac:dyDescent="0.25">
      <c r="A4" s="16">
        <v>134</v>
      </c>
      <c r="B4" t="s">
        <v>1192</v>
      </c>
      <c r="C4" t="s">
        <v>1196</v>
      </c>
      <c r="E4">
        <v>15</v>
      </c>
      <c r="F4" t="s">
        <v>1194</v>
      </c>
      <c r="G4" t="s">
        <v>1197</v>
      </c>
    </row>
    <row r="5" spans="1:7" x14ac:dyDescent="0.25">
      <c r="A5" s="16">
        <v>135</v>
      </c>
      <c r="B5" t="s">
        <v>1198</v>
      </c>
      <c r="C5" t="s">
        <v>1199</v>
      </c>
      <c r="E5">
        <v>124</v>
      </c>
      <c r="F5" t="s">
        <v>1194</v>
      </c>
      <c r="G5" t="s">
        <v>1200</v>
      </c>
    </row>
    <row r="6" spans="1:7" x14ac:dyDescent="0.25">
      <c r="A6" s="16">
        <v>136</v>
      </c>
      <c r="B6" t="s">
        <v>1192</v>
      </c>
      <c r="C6" t="s">
        <v>1201</v>
      </c>
      <c r="E6">
        <v>84</v>
      </c>
      <c r="F6" t="s">
        <v>1202</v>
      </c>
      <c r="G6" t="s">
        <v>1203</v>
      </c>
    </row>
    <row r="7" spans="1:7" x14ac:dyDescent="0.25">
      <c r="A7" s="16">
        <v>137</v>
      </c>
      <c r="B7" t="s">
        <v>1192</v>
      </c>
      <c r="C7" t="s">
        <v>1201</v>
      </c>
      <c r="E7">
        <v>27</v>
      </c>
      <c r="F7" t="s">
        <v>1204</v>
      </c>
      <c r="G7" t="s">
        <v>1205</v>
      </c>
    </row>
    <row r="8" spans="1:7" x14ac:dyDescent="0.25">
      <c r="A8" s="16">
        <v>138</v>
      </c>
      <c r="B8" t="s">
        <v>1198</v>
      </c>
      <c r="C8" t="s">
        <v>1206</v>
      </c>
      <c r="E8">
        <v>104</v>
      </c>
      <c r="F8" t="s">
        <v>1207</v>
      </c>
      <c r="G8" t="s">
        <v>1208</v>
      </c>
    </row>
    <row r="9" spans="1:7" x14ac:dyDescent="0.25">
      <c r="A9" s="16">
        <v>139</v>
      </c>
      <c r="B9" t="s">
        <v>1209</v>
      </c>
      <c r="C9" t="s">
        <v>1210</v>
      </c>
      <c r="E9">
        <v>45</v>
      </c>
      <c r="F9" t="s">
        <v>1211</v>
      </c>
      <c r="G9" t="s">
        <v>1212</v>
      </c>
    </row>
    <row r="10" spans="1:7" x14ac:dyDescent="0.25">
      <c r="A10" s="16">
        <v>140</v>
      </c>
      <c r="B10" t="s">
        <v>1209</v>
      </c>
      <c r="C10" t="s">
        <v>1213</v>
      </c>
    </row>
    <row r="11" spans="1:7" x14ac:dyDescent="0.25">
      <c r="A11" s="16">
        <v>141</v>
      </c>
      <c r="B11" t="s">
        <v>1209</v>
      </c>
      <c r="C11" t="s">
        <v>1214</v>
      </c>
    </row>
    <row r="12" spans="1:7" x14ac:dyDescent="0.25">
      <c r="A12" s="16">
        <v>142</v>
      </c>
      <c r="B12" t="s">
        <v>1209</v>
      </c>
      <c r="C12" t="s">
        <v>1215</v>
      </c>
    </row>
    <row r="13" spans="1:7" x14ac:dyDescent="0.25">
      <c r="A13" s="16">
        <v>143</v>
      </c>
      <c r="B13" t="s">
        <v>1216</v>
      </c>
      <c r="C13" t="s">
        <v>1217</v>
      </c>
    </row>
    <row r="14" spans="1:7" x14ac:dyDescent="0.25">
      <c r="A14" s="16">
        <v>144</v>
      </c>
      <c r="B14" t="s">
        <v>1216</v>
      </c>
      <c r="C14" t="s">
        <v>1218</v>
      </c>
    </row>
    <row r="15" spans="1:7" x14ac:dyDescent="0.25">
      <c r="A15" s="16">
        <v>145</v>
      </c>
      <c r="B15" t="s">
        <v>1216</v>
      </c>
      <c r="C15" t="s">
        <v>1219</v>
      </c>
    </row>
    <row r="16" spans="1:7" x14ac:dyDescent="0.25">
      <c r="A16" s="16">
        <v>146</v>
      </c>
      <c r="B16" t="s">
        <v>1220</v>
      </c>
      <c r="C16" t="s">
        <v>1221</v>
      </c>
      <c r="E16" s="69" t="s">
        <v>1222</v>
      </c>
      <c r="F16" s="69"/>
    </row>
    <row r="17" spans="1:8" x14ac:dyDescent="0.25">
      <c r="A17" s="16">
        <v>147</v>
      </c>
      <c r="B17" t="s">
        <v>1220</v>
      </c>
      <c r="C17" t="s">
        <v>1223</v>
      </c>
      <c r="E17" t="s">
        <v>486</v>
      </c>
      <c r="F17" t="s">
        <v>1224</v>
      </c>
      <c r="G17" t="s">
        <v>1225</v>
      </c>
      <c r="H17" t="s">
        <v>1189</v>
      </c>
    </row>
    <row r="18" spans="1:8" x14ac:dyDescent="0.25">
      <c r="A18" s="16">
        <v>148</v>
      </c>
      <c r="B18" t="s">
        <v>1220</v>
      </c>
      <c r="C18" t="s">
        <v>1226</v>
      </c>
      <c r="E18">
        <v>252</v>
      </c>
      <c r="F18" t="s">
        <v>1227</v>
      </c>
      <c r="G18">
        <v>384</v>
      </c>
      <c r="H18" t="s">
        <v>1228</v>
      </c>
    </row>
    <row r="19" spans="1:8" x14ac:dyDescent="0.25">
      <c r="A19" s="16">
        <v>149</v>
      </c>
      <c r="B19" t="s">
        <v>1229</v>
      </c>
      <c r="C19" t="s">
        <v>1230</v>
      </c>
    </row>
    <row r="20" spans="1:8" x14ac:dyDescent="0.25">
      <c r="A20" s="16">
        <v>150</v>
      </c>
      <c r="B20" t="s">
        <v>1229</v>
      </c>
      <c r="C20" t="s">
        <v>1231</v>
      </c>
    </row>
    <row r="21" spans="1:8" x14ac:dyDescent="0.25">
      <c r="A21" s="16">
        <v>151</v>
      </c>
      <c r="B21" t="s">
        <v>1229</v>
      </c>
      <c r="C21" t="s">
        <v>1232</v>
      </c>
      <c r="E21" s="69" t="s">
        <v>1233</v>
      </c>
      <c r="F21" s="69"/>
    </row>
    <row r="22" spans="1:8" x14ac:dyDescent="0.25">
      <c r="A22" s="16">
        <v>152</v>
      </c>
      <c r="B22" t="s">
        <v>1234</v>
      </c>
      <c r="C22" t="s">
        <v>1235</v>
      </c>
      <c r="E22" t="s">
        <v>1236</v>
      </c>
    </row>
    <row r="23" spans="1:8" x14ac:dyDescent="0.25">
      <c r="A23" s="16">
        <v>153</v>
      </c>
      <c r="B23" t="s">
        <v>1234</v>
      </c>
      <c r="C23" t="s">
        <v>1237</v>
      </c>
      <c r="E23" t="s">
        <v>1238</v>
      </c>
    </row>
    <row r="24" spans="1:8" x14ac:dyDescent="0.25">
      <c r="A24" s="16">
        <v>154</v>
      </c>
      <c r="B24" t="s">
        <v>1234</v>
      </c>
      <c r="C24" t="s">
        <v>1239</v>
      </c>
      <c r="E24" t="s">
        <v>1240</v>
      </c>
    </row>
    <row r="25" spans="1:8" x14ac:dyDescent="0.25">
      <c r="A25" s="16">
        <v>155</v>
      </c>
      <c r="B25" t="s">
        <v>1209</v>
      </c>
      <c r="C25" t="s">
        <v>1241</v>
      </c>
      <c r="E25" t="s">
        <v>1242</v>
      </c>
    </row>
    <row r="26" spans="1:8" x14ac:dyDescent="0.25">
      <c r="A26" s="16">
        <v>156</v>
      </c>
      <c r="B26" t="s">
        <v>1243</v>
      </c>
      <c r="C26" t="s">
        <v>1244</v>
      </c>
    </row>
    <row r="27" spans="1:8" x14ac:dyDescent="0.25">
      <c r="A27" s="16">
        <v>157</v>
      </c>
      <c r="B27" t="s">
        <v>1243</v>
      </c>
      <c r="C27" t="s">
        <v>1245</v>
      </c>
    </row>
    <row r="28" spans="1:8" x14ac:dyDescent="0.25">
      <c r="A28" s="16">
        <v>158</v>
      </c>
      <c r="B28" t="s">
        <v>1209</v>
      </c>
      <c r="C28" t="s">
        <v>1246</v>
      </c>
    </row>
    <row r="29" spans="1:8" x14ac:dyDescent="0.25">
      <c r="A29" s="16">
        <v>159</v>
      </c>
      <c r="B29" t="s">
        <v>1209</v>
      </c>
      <c r="C29" t="s">
        <v>1247</v>
      </c>
    </row>
    <row r="30" spans="1:8" x14ac:dyDescent="0.25">
      <c r="A30" s="16">
        <v>160</v>
      </c>
      <c r="B30" t="s">
        <v>1209</v>
      </c>
      <c r="C30" t="s">
        <v>1248</v>
      </c>
    </row>
    <row r="31" spans="1:8" x14ac:dyDescent="0.25">
      <c r="A31" s="16">
        <v>161</v>
      </c>
      <c r="B31" t="s">
        <v>1249</v>
      </c>
      <c r="C31" t="s">
        <v>1250</v>
      </c>
    </row>
    <row r="32" spans="1:8" x14ac:dyDescent="0.25">
      <c r="A32" s="16">
        <v>162</v>
      </c>
      <c r="B32" t="s">
        <v>1249</v>
      </c>
      <c r="C32" t="s">
        <v>1251</v>
      </c>
    </row>
    <row r="33" spans="1:3" x14ac:dyDescent="0.25">
      <c r="A33" s="16">
        <v>163</v>
      </c>
      <c r="B33" t="s">
        <v>1249</v>
      </c>
      <c r="C33" t="s">
        <v>1252</v>
      </c>
    </row>
    <row r="34" spans="1:3" x14ac:dyDescent="0.25">
      <c r="A34" s="16">
        <v>164</v>
      </c>
      <c r="B34" t="s">
        <v>1249</v>
      </c>
      <c r="C34" t="s">
        <v>1253</v>
      </c>
    </row>
    <row r="35" spans="1:3" x14ac:dyDescent="0.25">
      <c r="A35" s="16">
        <v>165</v>
      </c>
      <c r="B35" t="s">
        <v>1249</v>
      </c>
      <c r="C35" t="s">
        <v>1254</v>
      </c>
    </row>
    <row r="36" spans="1:3" x14ac:dyDescent="0.25">
      <c r="A36" s="16">
        <v>166</v>
      </c>
      <c r="B36" t="s">
        <v>1249</v>
      </c>
      <c r="C36" t="s">
        <v>1248</v>
      </c>
    </row>
    <row r="37" spans="1:3" x14ac:dyDescent="0.25">
      <c r="A37" s="16">
        <v>167</v>
      </c>
      <c r="B37" t="s">
        <v>1249</v>
      </c>
      <c r="C37" t="s">
        <v>1255</v>
      </c>
    </row>
    <row r="38" spans="1:3" x14ac:dyDescent="0.25">
      <c r="A38" s="16">
        <v>168</v>
      </c>
      <c r="B38" t="s">
        <v>1256</v>
      </c>
      <c r="C38" t="s">
        <v>1257</v>
      </c>
    </row>
    <row r="39" spans="1:3" x14ac:dyDescent="0.25">
      <c r="A39" s="16">
        <v>169</v>
      </c>
      <c r="B39" t="s">
        <v>1256</v>
      </c>
      <c r="C39" t="s">
        <v>1258</v>
      </c>
    </row>
    <row r="40" spans="1:3" x14ac:dyDescent="0.25">
      <c r="A40" s="16">
        <v>170</v>
      </c>
      <c r="B40" t="s">
        <v>1256</v>
      </c>
      <c r="C40" t="s">
        <v>1259</v>
      </c>
    </row>
    <row r="41" spans="1:3" x14ac:dyDescent="0.25">
      <c r="A41" s="16">
        <v>171</v>
      </c>
      <c r="B41" t="s">
        <v>1256</v>
      </c>
      <c r="C41" t="s">
        <v>1260</v>
      </c>
    </row>
    <row r="42" spans="1:3" x14ac:dyDescent="0.25">
      <c r="A42" s="16">
        <v>172</v>
      </c>
      <c r="B42" t="s">
        <v>1256</v>
      </c>
      <c r="C42" t="s">
        <v>1261</v>
      </c>
    </row>
    <row r="43" spans="1:3" x14ac:dyDescent="0.25">
      <c r="A43" s="16">
        <v>173</v>
      </c>
      <c r="B43" t="s">
        <v>1256</v>
      </c>
      <c r="C43" t="s">
        <v>1262</v>
      </c>
    </row>
    <row r="44" spans="1:3" x14ac:dyDescent="0.25">
      <c r="A44" s="16">
        <v>174</v>
      </c>
      <c r="B44" t="s">
        <v>1256</v>
      </c>
      <c r="C44" t="s">
        <v>1263</v>
      </c>
    </row>
    <row r="45" spans="1:3" x14ac:dyDescent="0.25">
      <c r="A45" s="16">
        <v>175</v>
      </c>
      <c r="B45" t="s">
        <v>1256</v>
      </c>
      <c r="C45" t="s">
        <v>1264</v>
      </c>
    </row>
    <row r="46" spans="1:3" x14ac:dyDescent="0.25">
      <c r="A46" s="16">
        <v>176</v>
      </c>
      <c r="B46" t="s">
        <v>1256</v>
      </c>
      <c r="C46" t="s">
        <v>1265</v>
      </c>
    </row>
    <row r="47" spans="1:3" x14ac:dyDescent="0.25">
      <c r="A47" s="16">
        <v>177</v>
      </c>
      <c r="B47" t="s">
        <v>1266</v>
      </c>
      <c r="C47" t="s">
        <v>1267</v>
      </c>
    </row>
    <row r="48" spans="1:3" x14ac:dyDescent="0.25">
      <c r="A48" s="16">
        <v>178</v>
      </c>
      <c r="B48" t="s">
        <v>1266</v>
      </c>
      <c r="C48" t="s">
        <v>1268</v>
      </c>
    </row>
    <row r="49" spans="1:3" x14ac:dyDescent="0.25">
      <c r="A49" s="16">
        <v>179</v>
      </c>
      <c r="B49" t="s">
        <v>1266</v>
      </c>
      <c r="C49" t="s">
        <v>1269</v>
      </c>
    </row>
    <row r="50" spans="1:3" x14ac:dyDescent="0.25">
      <c r="A50" s="16">
        <v>180</v>
      </c>
      <c r="B50" t="s">
        <v>1266</v>
      </c>
      <c r="C50" t="s">
        <v>1270</v>
      </c>
    </row>
    <row r="51" spans="1:3" x14ac:dyDescent="0.25">
      <c r="A51" s="16">
        <v>181</v>
      </c>
      <c r="B51" t="s">
        <v>1266</v>
      </c>
      <c r="C51" t="s">
        <v>1271</v>
      </c>
    </row>
    <row r="52" spans="1:3" x14ac:dyDescent="0.25">
      <c r="A52" s="16">
        <v>182</v>
      </c>
      <c r="B52" t="s">
        <v>1272</v>
      </c>
      <c r="C52" t="s">
        <v>1273</v>
      </c>
    </row>
    <row r="53" spans="1:3" x14ac:dyDescent="0.25">
      <c r="A53" s="16">
        <v>183</v>
      </c>
      <c r="B53" t="s">
        <v>1274</v>
      </c>
      <c r="C53" t="s">
        <v>1275</v>
      </c>
    </row>
    <row r="54" spans="1:3" x14ac:dyDescent="0.25">
      <c r="A54" s="16">
        <v>184</v>
      </c>
      <c r="B54" t="s">
        <v>1276</v>
      </c>
      <c r="C54" t="s">
        <v>1277</v>
      </c>
    </row>
    <row r="55" spans="1:3" x14ac:dyDescent="0.25">
      <c r="A55" s="16">
        <v>185</v>
      </c>
      <c r="B55" t="s">
        <v>1278</v>
      </c>
      <c r="C55" t="s">
        <v>1279</v>
      </c>
    </row>
    <row r="56" spans="1:3" x14ac:dyDescent="0.25">
      <c r="A56" s="16">
        <v>186</v>
      </c>
      <c r="B56" t="s">
        <v>1280</v>
      </c>
      <c r="C56" t="s">
        <v>1281</v>
      </c>
    </row>
    <row r="57" spans="1:3" x14ac:dyDescent="0.25">
      <c r="A57" s="16">
        <v>187</v>
      </c>
      <c r="B57" t="s">
        <v>1282</v>
      </c>
      <c r="C57" t="s">
        <v>1283</v>
      </c>
    </row>
    <row r="58" spans="1:3" x14ac:dyDescent="0.25">
      <c r="A58" s="16">
        <v>188</v>
      </c>
      <c r="B58" t="s">
        <v>1284</v>
      </c>
      <c r="C58" t="s">
        <v>1285</v>
      </c>
    </row>
    <row r="59" spans="1:3" x14ac:dyDescent="0.25">
      <c r="A59" s="16">
        <v>189</v>
      </c>
      <c r="B59" t="s">
        <v>1286</v>
      </c>
      <c r="C59" t="s">
        <v>1287</v>
      </c>
    </row>
    <row r="60" spans="1:3" x14ac:dyDescent="0.25">
      <c r="A60" s="16">
        <v>190</v>
      </c>
      <c r="B60" t="s">
        <v>1286</v>
      </c>
      <c r="C60" t="s">
        <v>1288</v>
      </c>
    </row>
    <row r="61" spans="1:3" x14ac:dyDescent="0.25">
      <c r="A61" s="16">
        <v>191</v>
      </c>
      <c r="B61" t="s">
        <v>1286</v>
      </c>
      <c r="C61" t="s">
        <v>1289</v>
      </c>
    </row>
    <row r="62" spans="1:3" x14ac:dyDescent="0.25">
      <c r="A62" s="16">
        <v>192</v>
      </c>
      <c r="B62" t="s">
        <v>1286</v>
      </c>
      <c r="C62" t="s">
        <v>1290</v>
      </c>
    </row>
    <row r="63" spans="1:3" x14ac:dyDescent="0.25">
      <c r="A63" s="16">
        <v>193</v>
      </c>
      <c r="B63" t="s">
        <v>1286</v>
      </c>
      <c r="C63" t="s">
        <v>1291</v>
      </c>
    </row>
    <row r="64" spans="1:3" x14ac:dyDescent="0.25">
      <c r="A64" s="16">
        <v>194</v>
      </c>
      <c r="B64" t="s">
        <v>1286</v>
      </c>
      <c r="C64" t="s">
        <v>1292</v>
      </c>
    </row>
    <row r="65" spans="1:3" x14ac:dyDescent="0.25">
      <c r="A65" s="16">
        <v>195</v>
      </c>
      <c r="B65" t="s">
        <v>1286</v>
      </c>
      <c r="C65" t="s">
        <v>1293</v>
      </c>
    </row>
    <row r="66" spans="1:3" x14ac:dyDescent="0.25">
      <c r="A66" s="16">
        <v>196</v>
      </c>
      <c r="B66" t="s">
        <v>1286</v>
      </c>
      <c r="C66" t="s">
        <v>1294</v>
      </c>
    </row>
    <row r="67" spans="1:3" x14ac:dyDescent="0.25">
      <c r="A67" s="16">
        <v>197</v>
      </c>
      <c r="B67" t="s">
        <v>1148</v>
      </c>
      <c r="C67" t="s">
        <v>1295</v>
      </c>
    </row>
    <row r="68" spans="1:3" x14ac:dyDescent="0.25">
      <c r="A68" s="16">
        <v>198</v>
      </c>
      <c r="B68" t="s">
        <v>1148</v>
      </c>
      <c r="C68" t="s">
        <v>1296</v>
      </c>
    </row>
    <row r="69" spans="1:3" x14ac:dyDescent="0.25">
      <c r="A69" s="16">
        <v>199</v>
      </c>
      <c r="B69" t="s">
        <v>1148</v>
      </c>
      <c r="C69" t="s">
        <v>1297</v>
      </c>
    </row>
    <row r="70" spans="1:3" x14ac:dyDescent="0.25">
      <c r="A70" s="16">
        <v>200</v>
      </c>
      <c r="B70" t="s">
        <v>1148</v>
      </c>
      <c r="C70" t="s">
        <v>1298</v>
      </c>
    </row>
    <row r="71" spans="1:3" x14ac:dyDescent="0.25">
      <c r="A71" s="16">
        <v>201</v>
      </c>
      <c r="B71" t="s">
        <v>1148</v>
      </c>
      <c r="C71" t="s">
        <v>1299</v>
      </c>
    </row>
    <row r="72" spans="1:3" x14ac:dyDescent="0.25">
      <c r="A72" s="16">
        <v>202</v>
      </c>
      <c r="B72" t="s">
        <v>1266</v>
      </c>
      <c r="C72" t="s">
        <v>1300</v>
      </c>
    </row>
    <row r="73" spans="1:3" x14ac:dyDescent="0.25">
      <c r="A73" s="16" t="s">
        <v>1301</v>
      </c>
      <c r="B73" t="s">
        <v>1278</v>
      </c>
      <c r="C73" t="s">
        <v>1302</v>
      </c>
    </row>
    <row r="74" spans="1:3" x14ac:dyDescent="0.25">
      <c r="A74" s="16" t="s">
        <v>1303</v>
      </c>
      <c r="B74" t="s">
        <v>1278</v>
      </c>
      <c r="C74" t="s">
        <v>1304</v>
      </c>
    </row>
    <row r="75" spans="1:3" x14ac:dyDescent="0.25">
      <c r="A75" s="16" t="s">
        <v>1305</v>
      </c>
      <c r="B75" t="s">
        <v>1306</v>
      </c>
      <c r="C75" t="s">
        <v>1307</v>
      </c>
    </row>
    <row r="76" spans="1:3" x14ac:dyDescent="0.25">
      <c r="A76" s="16" t="s">
        <v>1308</v>
      </c>
      <c r="B76" t="s">
        <v>1286</v>
      </c>
      <c r="C76" t="s">
        <v>1309</v>
      </c>
    </row>
    <row r="77" spans="1:3" x14ac:dyDescent="0.25">
      <c r="A77" s="16" t="s">
        <v>1310</v>
      </c>
      <c r="B77" t="s">
        <v>1286</v>
      </c>
      <c r="C77" t="s">
        <v>1311</v>
      </c>
    </row>
    <row r="78" spans="1:3" x14ac:dyDescent="0.25">
      <c r="A78" s="16" t="s">
        <v>1312</v>
      </c>
      <c r="B78" t="s">
        <v>1313</v>
      </c>
      <c r="C78" t="s">
        <v>1314</v>
      </c>
    </row>
    <row r="79" spans="1:3" x14ac:dyDescent="0.25">
      <c r="A79" s="16" t="s">
        <v>1315</v>
      </c>
      <c r="B79" t="s">
        <v>1313</v>
      </c>
      <c r="C79" t="s">
        <v>1316</v>
      </c>
    </row>
    <row r="80" spans="1:3" x14ac:dyDescent="0.25">
      <c r="A80" s="16" t="s">
        <v>1317</v>
      </c>
      <c r="B80" t="s">
        <v>1313</v>
      </c>
      <c r="C80" t="s">
        <v>1318</v>
      </c>
    </row>
    <row r="81" spans="1:3" x14ac:dyDescent="0.25">
      <c r="A81" s="16" t="s">
        <v>1319</v>
      </c>
      <c r="B81" t="s">
        <v>1313</v>
      </c>
      <c r="C81" t="s">
        <v>1320</v>
      </c>
    </row>
    <row r="82" spans="1:3" x14ac:dyDescent="0.25">
      <c r="A82" s="16" t="s">
        <v>1321</v>
      </c>
      <c r="B82" t="s">
        <v>1313</v>
      </c>
      <c r="C82" t="s">
        <v>1322</v>
      </c>
    </row>
    <row r="83" spans="1:3" x14ac:dyDescent="0.25">
      <c r="A83" s="16" t="s">
        <v>1323</v>
      </c>
      <c r="B83" t="s">
        <v>1313</v>
      </c>
      <c r="C83" t="s">
        <v>1324</v>
      </c>
    </row>
    <row r="84" spans="1:3" x14ac:dyDescent="0.25">
      <c r="A84" s="16" t="s">
        <v>1325</v>
      </c>
      <c r="B84" t="s">
        <v>1326</v>
      </c>
      <c r="C84" t="s">
        <v>1327</v>
      </c>
    </row>
    <row r="85" spans="1:3" x14ac:dyDescent="0.25">
      <c r="A85" s="16" t="s">
        <v>1328</v>
      </c>
      <c r="B85" t="s">
        <v>1326</v>
      </c>
      <c r="C85" t="s">
        <v>1329</v>
      </c>
    </row>
    <row r="86" spans="1:3" x14ac:dyDescent="0.25">
      <c r="A86" s="16" t="s">
        <v>1330</v>
      </c>
      <c r="B86" t="s">
        <v>1331</v>
      </c>
      <c r="C86" t="s">
        <v>1332</v>
      </c>
    </row>
    <row r="87" spans="1:3" x14ac:dyDescent="0.25">
      <c r="A87" s="16" t="s">
        <v>1333</v>
      </c>
      <c r="B87" t="s">
        <v>1334</v>
      </c>
      <c r="C87" t="s">
        <v>1335</v>
      </c>
    </row>
    <row r="88" spans="1:3" x14ac:dyDescent="0.25">
      <c r="A88" s="16" t="s">
        <v>1336</v>
      </c>
      <c r="B88" t="s">
        <v>1313</v>
      </c>
      <c r="C88" t="s">
        <v>1337</v>
      </c>
    </row>
    <row r="89" spans="1:3" x14ac:dyDescent="0.25">
      <c r="A89" s="16" t="s">
        <v>1338</v>
      </c>
      <c r="B89" t="s">
        <v>1339</v>
      </c>
      <c r="C89" t="s">
        <v>1340</v>
      </c>
    </row>
    <row r="90" spans="1:3" x14ac:dyDescent="0.25">
      <c r="A90" s="16" t="s">
        <v>1341</v>
      </c>
      <c r="B90" t="s">
        <v>1342</v>
      </c>
      <c r="C90" t="s">
        <v>1343</v>
      </c>
    </row>
    <row r="91" spans="1:3" x14ac:dyDescent="0.25">
      <c r="A91" s="16" t="s">
        <v>1344</v>
      </c>
      <c r="B91" t="s">
        <v>1342</v>
      </c>
      <c r="C91" t="s">
        <v>1345</v>
      </c>
    </row>
    <row r="92" spans="1:3" x14ac:dyDescent="0.25">
      <c r="A92" s="16" t="s">
        <v>1346</v>
      </c>
      <c r="B92" t="s">
        <v>1342</v>
      </c>
      <c r="C92" t="s">
        <v>1248</v>
      </c>
    </row>
    <row r="93" spans="1:3" x14ac:dyDescent="0.25">
      <c r="A93" s="16" t="s">
        <v>1347</v>
      </c>
      <c r="B93" t="s">
        <v>1342</v>
      </c>
      <c r="C93" t="s">
        <v>1348</v>
      </c>
    </row>
    <row r="94" spans="1:3" x14ac:dyDescent="0.25">
      <c r="A94" s="16" t="s">
        <v>1349</v>
      </c>
      <c r="B94" t="s">
        <v>1342</v>
      </c>
      <c r="C94" t="s">
        <v>1350</v>
      </c>
    </row>
    <row r="95" spans="1:3" x14ac:dyDescent="0.25">
      <c r="A95" s="16" t="s">
        <v>1351</v>
      </c>
      <c r="B95" t="s">
        <v>1342</v>
      </c>
      <c r="C95" t="s">
        <v>1352</v>
      </c>
    </row>
    <row r="96" spans="1:3" x14ac:dyDescent="0.25">
      <c r="A96" s="16" t="s">
        <v>1353</v>
      </c>
      <c r="B96" t="s">
        <v>1354</v>
      </c>
      <c r="C96" t="s">
        <v>1355</v>
      </c>
    </row>
    <row r="97" spans="1:3" x14ac:dyDescent="0.25">
      <c r="A97" s="16" t="s">
        <v>1356</v>
      </c>
      <c r="B97" t="s">
        <v>1357</v>
      </c>
      <c r="C97" t="s">
        <v>1358</v>
      </c>
    </row>
    <row r="98" spans="1:3" x14ac:dyDescent="0.25">
      <c r="A98" s="16" t="s">
        <v>1359</v>
      </c>
      <c r="B98" t="s">
        <v>1357</v>
      </c>
      <c r="C98" t="s">
        <v>1360</v>
      </c>
    </row>
    <row r="99" spans="1:3" x14ac:dyDescent="0.25">
      <c r="A99" s="16" t="s">
        <v>1361</v>
      </c>
      <c r="B99" t="s">
        <v>1357</v>
      </c>
      <c r="C99" t="s">
        <v>1362</v>
      </c>
    </row>
    <row r="100" spans="1:3" x14ac:dyDescent="0.25">
      <c r="A100" s="16" t="s">
        <v>1363</v>
      </c>
      <c r="B100" t="s">
        <v>1364</v>
      </c>
      <c r="C100" t="s">
        <v>1365</v>
      </c>
    </row>
    <row r="101" spans="1:3" x14ac:dyDescent="0.25">
      <c r="A101" s="16" t="s">
        <v>1366</v>
      </c>
      <c r="B101" t="s">
        <v>1367</v>
      </c>
      <c r="C101" t="s">
        <v>1368</v>
      </c>
    </row>
    <row r="102" spans="1:3" x14ac:dyDescent="0.25">
      <c r="A102" s="16" t="s">
        <v>1369</v>
      </c>
      <c r="B102" t="s">
        <v>1179</v>
      </c>
      <c r="C102" t="s">
        <v>1370</v>
      </c>
    </row>
    <row r="103" spans="1:3" x14ac:dyDescent="0.25">
      <c r="A103" s="16" t="s">
        <v>1371</v>
      </c>
      <c r="B103" t="s">
        <v>1372</v>
      </c>
      <c r="C103" t="s">
        <v>1373</v>
      </c>
    </row>
    <row r="104" spans="1:3" x14ac:dyDescent="0.25">
      <c r="A104" s="16" t="s">
        <v>1374</v>
      </c>
      <c r="B104" t="s">
        <v>1179</v>
      </c>
      <c r="C104" t="s">
        <v>1375</v>
      </c>
    </row>
    <row r="105" spans="1:3" x14ac:dyDescent="0.25">
      <c r="A105" s="16" t="s">
        <v>1376</v>
      </c>
      <c r="B105" t="s">
        <v>1377</v>
      </c>
      <c r="C105" t="s">
        <v>1378</v>
      </c>
    </row>
    <row r="106" spans="1:3" x14ac:dyDescent="0.25">
      <c r="A106" s="16" t="s">
        <v>1379</v>
      </c>
      <c r="B106" t="s">
        <v>1377</v>
      </c>
      <c r="C106" t="s">
        <v>1380</v>
      </c>
    </row>
    <row r="107" spans="1:3" x14ac:dyDescent="0.25">
      <c r="A107" s="16" t="s">
        <v>1381</v>
      </c>
      <c r="B107" t="s">
        <v>1377</v>
      </c>
      <c r="C107" t="s">
        <v>1382</v>
      </c>
    </row>
    <row r="108" spans="1:3" x14ac:dyDescent="0.25">
      <c r="A108" s="16" t="s">
        <v>1383</v>
      </c>
      <c r="B108" t="s">
        <v>1377</v>
      </c>
      <c r="C108" t="s">
        <v>1382</v>
      </c>
    </row>
    <row r="109" spans="1:3" x14ac:dyDescent="0.25">
      <c r="A109" s="16" t="s">
        <v>1384</v>
      </c>
      <c r="B109" t="s">
        <v>1377</v>
      </c>
      <c r="C109" t="s">
        <v>1385</v>
      </c>
    </row>
    <row r="110" spans="1:3" x14ac:dyDescent="0.25">
      <c r="A110" s="16" t="s">
        <v>1386</v>
      </c>
      <c r="B110" t="s">
        <v>1183</v>
      </c>
      <c r="C110" t="s">
        <v>1385</v>
      </c>
    </row>
    <row r="111" spans="1:3" x14ac:dyDescent="0.25">
      <c r="A111" s="16" t="s">
        <v>1387</v>
      </c>
      <c r="B111" t="s">
        <v>1388</v>
      </c>
      <c r="C111" t="s">
        <v>1389</v>
      </c>
    </row>
    <row r="112" spans="1:3" x14ac:dyDescent="0.25">
      <c r="A112" s="16" t="s">
        <v>1390</v>
      </c>
      <c r="B112" t="s">
        <v>1388</v>
      </c>
      <c r="C112" t="s">
        <v>1391</v>
      </c>
    </row>
    <row r="113" spans="1:3" x14ac:dyDescent="0.25">
      <c r="A113" s="16" t="s">
        <v>1392</v>
      </c>
      <c r="B113" t="s">
        <v>1388</v>
      </c>
      <c r="C113" t="s">
        <v>1393</v>
      </c>
    </row>
    <row r="114" spans="1:3" x14ac:dyDescent="0.25">
      <c r="A114" s="16" t="s">
        <v>1394</v>
      </c>
      <c r="B114" t="s">
        <v>1388</v>
      </c>
      <c r="C114" t="s">
        <v>1395</v>
      </c>
    </row>
    <row r="115" spans="1:3" x14ac:dyDescent="0.25">
      <c r="A115" s="16" t="s">
        <v>1396</v>
      </c>
      <c r="B115" t="s">
        <v>1388</v>
      </c>
      <c r="C115" t="s">
        <v>1397</v>
      </c>
    </row>
    <row r="116" spans="1:3" x14ac:dyDescent="0.25">
      <c r="A116" s="16" t="s">
        <v>1398</v>
      </c>
      <c r="B116" t="s">
        <v>1388</v>
      </c>
      <c r="C116" t="s">
        <v>1399</v>
      </c>
    </row>
    <row r="117" spans="1:3" x14ac:dyDescent="0.25">
      <c r="A117" s="16" t="s">
        <v>1400</v>
      </c>
      <c r="B117" t="s">
        <v>1388</v>
      </c>
      <c r="C117" t="s">
        <v>1401</v>
      </c>
    </row>
    <row r="118" spans="1:3" x14ac:dyDescent="0.25">
      <c r="A118" s="16" t="s">
        <v>1402</v>
      </c>
      <c r="B118" t="s">
        <v>1388</v>
      </c>
      <c r="C118" t="s">
        <v>1403</v>
      </c>
    </row>
    <row r="119" spans="1:3" x14ac:dyDescent="0.25">
      <c r="A119" s="16" t="s">
        <v>1404</v>
      </c>
      <c r="B119" t="s">
        <v>1388</v>
      </c>
      <c r="C119" t="s">
        <v>1405</v>
      </c>
    </row>
    <row r="120" spans="1:3" x14ac:dyDescent="0.25">
      <c r="A120" s="16" t="s">
        <v>1406</v>
      </c>
      <c r="B120" t="s">
        <v>1407</v>
      </c>
      <c r="C120" t="s">
        <v>1408</v>
      </c>
    </row>
    <row r="121" spans="1:3" x14ac:dyDescent="0.25">
      <c r="A121" s="16" t="s">
        <v>1409</v>
      </c>
      <c r="B121" t="s">
        <v>1407</v>
      </c>
      <c r="C121" t="s">
        <v>1410</v>
      </c>
    </row>
    <row r="122" spans="1:3" x14ac:dyDescent="0.25">
      <c r="A122" s="16" t="s">
        <v>1411</v>
      </c>
      <c r="B122" t="s">
        <v>1407</v>
      </c>
      <c r="C122" t="s">
        <v>1412</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1413</v>
      </c>
      <c r="B1" t="s">
        <v>482</v>
      </c>
    </row>
    <row r="2" spans="1:2" x14ac:dyDescent="0.25">
      <c r="A2">
        <v>39</v>
      </c>
      <c r="B2" t="s">
        <v>1414</v>
      </c>
    </row>
    <row r="3" spans="1:2" x14ac:dyDescent="0.25">
      <c r="A3">
        <v>40</v>
      </c>
      <c r="B3" t="s">
        <v>1415</v>
      </c>
    </row>
    <row r="4" spans="1:2" x14ac:dyDescent="0.25">
      <c r="A4">
        <v>41</v>
      </c>
      <c r="B4" t="s">
        <v>1416</v>
      </c>
    </row>
    <row r="5" spans="1:2" x14ac:dyDescent="0.25">
      <c r="A5">
        <v>42</v>
      </c>
      <c r="B5" t="s">
        <v>1417</v>
      </c>
    </row>
    <row r="6" spans="1:2" x14ac:dyDescent="0.25">
      <c r="A6">
        <v>43</v>
      </c>
      <c r="B6" t="s">
        <v>1418</v>
      </c>
    </row>
    <row r="7" spans="1:2" x14ac:dyDescent="0.25">
      <c r="A7">
        <v>44</v>
      </c>
      <c r="B7" t="s">
        <v>1419</v>
      </c>
    </row>
    <row r="8" spans="1:2" x14ac:dyDescent="0.25">
      <c r="A8">
        <v>45</v>
      </c>
      <c r="B8" t="s">
        <v>1420</v>
      </c>
    </row>
    <row r="9" spans="1:2" x14ac:dyDescent="0.25">
      <c r="A9">
        <v>46</v>
      </c>
      <c r="B9" t="s">
        <v>1421</v>
      </c>
    </row>
    <row r="10" spans="1:2" x14ac:dyDescent="0.25">
      <c r="A10">
        <v>47</v>
      </c>
      <c r="B10" t="s">
        <v>1422</v>
      </c>
    </row>
    <row r="11" spans="1:2" x14ac:dyDescent="0.25">
      <c r="A11">
        <v>48</v>
      </c>
      <c r="B11" t="s">
        <v>1423</v>
      </c>
    </row>
    <row r="12" spans="1:2" x14ac:dyDescent="0.25">
      <c r="A12">
        <v>49</v>
      </c>
      <c r="B12" t="s">
        <v>1424</v>
      </c>
    </row>
    <row r="13" spans="1:2" x14ac:dyDescent="0.25">
      <c r="A13">
        <v>50</v>
      </c>
      <c r="B13" t="s">
        <v>1425</v>
      </c>
    </row>
    <row r="14" spans="1:2" x14ac:dyDescent="0.25">
      <c r="A14">
        <v>51</v>
      </c>
      <c r="B14" t="s">
        <v>1426</v>
      </c>
    </row>
    <row r="15" spans="1:2" x14ac:dyDescent="0.25">
      <c r="A15">
        <v>52</v>
      </c>
      <c r="B15" t="s">
        <v>1427</v>
      </c>
    </row>
    <row r="16" spans="1:2" x14ac:dyDescent="0.25">
      <c r="A16">
        <v>53</v>
      </c>
      <c r="B16" t="s">
        <v>1428</v>
      </c>
    </row>
    <row r="17" spans="1:2" x14ac:dyDescent="0.25">
      <c r="A17">
        <v>54</v>
      </c>
      <c r="B17" t="s">
        <v>1429</v>
      </c>
    </row>
    <row r="18" spans="1:2" x14ac:dyDescent="0.25">
      <c r="A18">
        <v>55</v>
      </c>
      <c r="B18" t="s">
        <v>1430</v>
      </c>
    </row>
    <row r="19" spans="1:2" x14ac:dyDescent="0.25">
      <c r="A19">
        <v>56</v>
      </c>
      <c r="B19" t="s">
        <v>1431</v>
      </c>
    </row>
    <row r="20" spans="1:2" x14ac:dyDescent="0.25">
      <c r="A20">
        <v>57</v>
      </c>
      <c r="B20" t="s">
        <v>1432</v>
      </c>
    </row>
    <row r="21" spans="1:2" x14ac:dyDescent="0.25">
      <c r="A21">
        <v>58</v>
      </c>
      <c r="B21" t="s">
        <v>1433</v>
      </c>
    </row>
    <row r="22" spans="1:2" x14ac:dyDescent="0.25">
      <c r="A22">
        <v>59</v>
      </c>
      <c r="B22" t="s">
        <v>1434</v>
      </c>
    </row>
    <row r="23" spans="1:2" x14ac:dyDescent="0.25">
      <c r="A23">
        <v>60</v>
      </c>
      <c r="B23" t="s">
        <v>1435</v>
      </c>
    </row>
    <row r="24" spans="1:2" x14ac:dyDescent="0.25">
      <c r="A24">
        <v>61</v>
      </c>
      <c r="B24" t="s">
        <v>1436</v>
      </c>
    </row>
    <row r="25" spans="1:2" x14ac:dyDescent="0.25">
      <c r="A25">
        <v>62</v>
      </c>
      <c r="B25" t="s">
        <v>1437</v>
      </c>
    </row>
    <row r="26" spans="1:2" x14ac:dyDescent="0.25">
      <c r="A26">
        <v>63</v>
      </c>
      <c r="B26" t="s">
        <v>1438</v>
      </c>
    </row>
    <row r="27" spans="1:2" x14ac:dyDescent="0.25">
      <c r="A27">
        <v>64</v>
      </c>
      <c r="B27" t="s">
        <v>1439</v>
      </c>
    </row>
    <row r="28" spans="1:2" x14ac:dyDescent="0.25">
      <c r="A28">
        <v>65</v>
      </c>
      <c r="B28" t="s">
        <v>1440</v>
      </c>
    </row>
    <row r="29" spans="1:2" x14ac:dyDescent="0.25">
      <c r="A29">
        <v>66</v>
      </c>
      <c r="B29" t="s">
        <v>1441</v>
      </c>
    </row>
    <row r="30" spans="1:2" x14ac:dyDescent="0.25">
      <c r="A30">
        <v>67</v>
      </c>
      <c r="B30" t="s">
        <v>1442</v>
      </c>
    </row>
    <row r="31" spans="1:2" x14ac:dyDescent="0.25">
      <c r="A31">
        <v>68</v>
      </c>
      <c r="B31" t="s">
        <v>1443</v>
      </c>
    </row>
    <row r="32" spans="1:2" x14ac:dyDescent="0.25">
      <c r="A32">
        <v>69</v>
      </c>
      <c r="B32" t="s">
        <v>1444</v>
      </c>
    </row>
    <row r="33" spans="1:2" x14ac:dyDescent="0.25">
      <c r="A33">
        <v>70</v>
      </c>
      <c r="B33" t="s">
        <v>1445</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1446</v>
      </c>
      <c r="B1" t="s">
        <v>488</v>
      </c>
      <c r="C1" t="s">
        <v>1447</v>
      </c>
    </row>
    <row r="2" spans="1:3" x14ac:dyDescent="0.25">
      <c r="A2">
        <v>66</v>
      </c>
      <c r="B2" t="s">
        <v>1448</v>
      </c>
      <c r="C2" t="s">
        <v>1449</v>
      </c>
    </row>
    <row r="3" spans="1:3" x14ac:dyDescent="0.25">
      <c r="A3">
        <v>67</v>
      </c>
      <c r="B3" t="s">
        <v>1448</v>
      </c>
      <c r="C3" t="s">
        <v>1450</v>
      </c>
    </row>
    <row r="4" spans="1:3" x14ac:dyDescent="0.25">
      <c r="A4">
        <v>68</v>
      </c>
      <c r="B4" t="s">
        <v>1451</v>
      </c>
      <c r="C4" t="s">
        <v>1452</v>
      </c>
    </row>
    <row r="5" spans="1:3" x14ac:dyDescent="0.25">
      <c r="A5">
        <v>69</v>
      </c>
      <c r="B5" t="s">
        <v>1453</v>
      </c>
      <c r="C5" t="s">
        <v>1454</v>
      </c>
    </row>
    <row r="6" spans="1:3" x14ac:dyDescent="0.25">
      <c r="A6">
        <v>70</v>
      </c>
      <c r="B6" t="s">
        <v>1455</v>
      </c>
      <c r="C6" t="s">
        <v>1456</v>
      </c>
    </row>
    <row r="7" spans="1:3" x14ac:dyDescent="0.25">
      <c r="A7">
        <v>71</v>
      </c>
      <c r="B7" t="s">
        <v>1457</v>
      </c>
      <c r="C7" t="s">
        <v>1458</v>
      </c>
    </row>
    <row r="8" spans="1:3" x14ac:dyDescent="0.25">
      <c r="A8">
        <v>72</v>
      </c>
      <c r="B8" t="s">
        <v>1448</v>
      </c>
      <c r="C8" t="s">
        <v>1459</v>
      </c>
    </row>
    <row r="9" spans="1:3" x14ac:dyDescent="0.25">
      <c r="A9">
        <v>73</v>
      </c>
      <c r="B9" t="s">
        <v>1460</v>
      </c>
      <c r="C9" t="s">
        <v>1461</v>
      </c>
    </row>
    <row r="10" spans="1:3" x14ac:dyDescent="0.25">
      <c r="A10">
        <v>74</v>
      </c>
      <c r="B10" t="s">
        <v>5</v>
      </c>
      <c r="C10" t="s">
        <v>6</v>
      </c>
    </row>
    <row r="11" spans="1:3" x14ac:dyDescent="0.25">
      <c r="A11">
        <v>75</v>
      </c>
      <c r="B11" t="s">
        <v>8</v>
      </c>
      <c r="C11" t="s">
        <v>1462</v>
      </c>
    </row>
    <row r="12" spans="1:3" x14ac:dyDescent="0.25">
      <c r="A12">
        <v>76</v>
      </c>
      <c r="B12" t="s">
        <v>1463</v>
      </c>
      <c r="C12" t="s">
        <v>1464</v>
      </c>
    </row>
    <row r="13" spans="1:3" x14ac:dyDescent="0.25">
      <c r="A13">
        <v>77</v>
      </c>
      <c r="B13" t="s">
        <v>1448</v>
      </c>
      <c r="C13" t="s">
        <v>1464</v>
      </c>
    </row>
    <row r="16" spans="1:3" x14ac:dyDescent="0.25">
      <c r="A16" t="s">
        <v>1465</v>
      </c>
      <c r="B16" t="s">
        <v>1466</v>
      </c>
      <c r="C16" t="s">
        <v>1467</v>
      </c>
    </row>
    <row r="17" spans="1:3" x14ac:dyDescent="0.25">
      <c r="A17">
        <v>19</v>
      </c>
      <c r="B17" t="s">
        <v>1468</v>
      </c>
      <c r="C17" t="s">
        <v>1469</v>
      </c>
    </row>
    <row r="18" spans="1:3" x14ac:dyDescent="0.25">
      <c r="A18">
        <v>20</v>
      </c>
      <c r="B18" t="s">
        <v>1470</v>
      </c>
      <c r="C18" t="s">
        <v>1471</v>
      </c>
    </row>
    <row r="19" spans="1:3" x14ac:dyDescent="0.25">
      <c r="A19">
        <v>21</v>
      </c>
      <c r="B19" t="s">
        <v>1472</v>
      </c>
      <c r="C19" t="s">
        <v>1473</v>
      </c>
    </row>
    <row r="20" spans="1:3" x14ac:dyDescent="0.25">
      <c r="A20">
        <v>22</v>
      </c>
      <c r="B20" t="s">
        <v>6</v>
      </c>
    </row>
    <row r="21" spans="1:3" x14ac:dyDescent="0.25">
      <c r="A21">
        <v>23</v>
      </c>
      <c r="B21" t="s">
        <v>1474</v>
      </c>
      <c r="C21" t="s">
        <v>1475</v>
      </c>
    </row>
    <row r="22" spans="1:3" x14ac:dyDescent="0.25">
      <c r="A22">
        <v>24</v>
      </c>
      <c r="B22" t="s">
        <v>1476</v>
      </c>
      <c r="C22" t="s">
        <v>1477</v>
      </c>
    </row>
    <row r="25" spans="1:3" x14ac:dyDescent="0.25">
      <c r="A25" t="s">
        <v>1478</v>
      </c>
    </row>
    <row r="26" spans="1:3" x14ac:dyDescent="0.25">
      <c r="A26">
        <v>11</v>
      </c>
      <c r="B26" t="s">
        <v>1479</v>
      </c>
      <c r="C26" t="s">
        <v>1480</v>
      </c>
    </row>
    <row r="27" spans="1:3" x14ac:dyDescent="0.25">
      <c r="A27">
        <v>14</v>
      </c>
      <c r="B27" t="s">
        <v>1481</v>
      </c>
      <c r="C27" t="s">
        <v>1482</v>
      </c>
    </row>
    <row r="28" spans="1:3" x14ac:dyDescent="0.25">
      <c r="A28">
        <v>32</v>
      </c>
      <c r="B28" t="s">
        <v>1483</v>
      </c>
      <c r="C28" t="s">
        <v>1484</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1485</v>
      </c>
      <c r="B1" s="4" t="s">
        <v>1486</v>
      </c>
    </row>
    <row r="2" spans="1:2" x14ac:dyDescent="0.25">
      <c r="A2" t="s">
        <v>1487</v>
      </c>
      <c r="B2" t="s">
        <v>1488</v>
      </c>
    </row>
    <row r="3" spans="1:2" x14ac:dyDescent="0.25">
      <c r="A3" t="s">
        <v>1489</v>
      </c>
      <c r="B3" t="s">
        <v>1490</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7"/>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1491</v>
      </c>
      <c r="B1" s="18" t="s">
        <v>1486</v>
      </c>
      <c r="E1" s="75" t="s">
        <v>1492</v>
      </c>
      <c r="F1" s="75"/>
      <c r="G1" s="75"/>
    </row>
    <row r="2" spans="1:14" x14ac:dyDescent="0.25">
      <c r="A2" t="s">
        <v>1493</v>
      </c>
      <c r="B2" t="s">
        <v>1494</v>
      </c>
    </row>
    <row r="3" spans="1:14" x14ac:dyDescent="0.25">
      <c r="A3" t="s">
        <v>1493</v>
      </c>
      <c r="B3" t="s">
        <v>1495</v>
      </c>
      <c r="E3" t="s">
        <v>1496</v>
      </c>
    </row>
    <row r="4" spans="1:14" x14ac:dyDescent="0.25">
      <c r="A4" t="s">
        <v>1497</v>
      </c>
      <c r="B4" t="s">
        <v>1498</v>
      </c>
      <c r="E4" s="19" t="s">
        <v>1499</v>
      </c>
      <c r="F4" s="20" t="s">
        <v>1500</v>
      </c>
      <c r="G4" s="21" t="s">
        <v>1501</v>
      </c>
      <c r="I4" s="22" t="s">
        <v>1502</v>
      </c>
      <c r="J4" s="21" t="s">
        <v>1503</v>
      </c>
      <c r="K4" s="22" t="s">
        <v>1504</v>
      </c>
      <c r="L4" s="21" t="s">
        <v>1505</v>
      </c>
      <c r="M4" s="22" t="s">
        <v>1506</v>
      </c>
      <c r="N4" s="23" t="s">
        <v>1507</v>
      </c>
    </row>
    <row r="5" spans="1:14" x14ac:dyDescent="0.25">
      <c r="A5" t="s">
        <v>1497</v>
      </c>
      <c r="B5" t="s">
        <v>1495</v>
      </c>
      <c r="E5" s="24" t="s">
        <v>1508</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1493</v>
      </c>
      <c r="B6" t="s">
        <v>1509</v>
      </c>
      <c r="E6" s="24" t="s">
        <v>1510</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1497</v>
      </c>
      <c r="B7" t="s">
        <v>1509</v>
      </c>
      <c r="E7" s="24" t="s">
        <v>1511</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1512</v>
      </c>
      <c r="B8" t="s">
        <v>1513</v>
      </c>
      <c r="E8" s="24" t="s">
        <v>1514</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1512</v>
      </c>
      <c r="B9" t="s">
        <v>1515</v>
      </c>
      <c r="E9" s="24" t="s">
        <v>1516</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1512</v>
      </c>
      <c r="B10" t="s">
        <v>1517</v>
      </c>
      <c r="E10" s="24" t="s">
        <v>1518</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1519</v>
      </c>
      <c r="B11" t="s">
        <v>1520</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1519</v>
      </c>
      <c r="B12" t="s">
        <v>1521</v>
      </c>
      <c r="E12" s="24" t="s">
        <v>1522</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1519</v>
      </c>
      <c r="B13" t="s">
        <v>1509</v>
      </c>
      <c r="E13" s="24" t="s">
        <v>1523</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1524</v>
      </c>
      <c r="B14" t="s">
        <v>1525</v>
      </c>
      <c r="E14" s="30" t="s">
        <v>1526</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1524</v>
      </c>
      <c r="B15" t="s">
        <v>1527</v>
      </c>
    </row>
    <row r="16" spans="1:14" x14ac:dyDescent="0.25">
      <c r="A16" t="s">
        <v>1528</v>
      </c>
      <c r="B16" t="s">
        <v>1529</v>
      </c>
    </row>
    <row r="17" spans="1:11" x14ac:dyDescent="0.25">
      <c r="A17" t="s">
        <v>1530</v>
      </c>
      <c r="B17" t="s">
        <v>1531</v>
      </c>
      <c r="E17" s="22" t="s">
        <v>1491</v>
      </c>
      <c r="F17" s="35" t="s">
        <v>1532</v>
      </c>
      <c r="G17" s="35" t="s">
        <v>1533</v>
      </c>
      <c r="H17" s="35" t="s">
        <v>1534</v>
      </c>
      <c r="I17" s="35" t="s">
        <v>1535</v>
      </c>
      <c r="J17" s="35" t="s">
        <v>1536</v>
      </c>
      <c r="K17" s="21" t="s">
        <v>1537</v>
      </c>
    </row>
    <row r="18" spans="1:11" x14ac:dyDescent="0.25">
      <c r="A18" t="s">
        <v>1530</v>
      </c>
      <c r="B18" t="s">
        <v>1538</v>
      </c>
      <c r="E18" s="27" t="s">
        <v>1539</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1530</v>
      </c>
      <c r="B19" t="s">
        <v>1540</v>
      </c>
      <c r="E19" s="27" t="s">
        <v>1541</v>
      </c>
      <c r="F19" s="36">
        <v>59850</v>
      </c>
      <c r="G19" s="36">
        <v>59850</v>
      </c>
      <c r="H19" s="36">
        <f t="shared" si="6"/>
        <v>35</v>
      </c>
      <c r="I19" s="36">
        <f t="shared" si="6"/>
        <v>35</v>
      </c>
      <c r="J19" s="36">
        <f>F13</f>
        <v>95</v>
      </c>
      <c r="K19" s="26">
        <f>G13</f>
        <v>95</v>
      </c>
    </row>
    <row r="20" spans="1:11" x14ac:dyDescent="0.25">
      <c r="A20" t="s">
        <v>1542</v>
      </c>
      <c r="B20" t="s">
        <v>1543</v>
      </c>
      <c r="E20" s="27" t="s">
        <v>1528</v>
      </c>
      <c r="F20" s="36">
        <v>150</v>
      </c>
      <c r="G20" s="37">
        <v>110</v>
      </c>
      <c r="H20" s="36">
        <f t="shared" si="6"/>
        <v>1</v>
      </c>
      <c r="I20" s="36">
        <f t="shared" si="6"/>
        <v>1</v>
      </c>
      <c r="J20" s="36">
        <f>F6</f>
        <v>150</v>
      </c>
      <c r="K20" s="26">
        <f>G6</f>
        <v>110</v>
      </c>
    </row>
    <row r="21" spans="1:11" x14ac:dyDescent="0.25">
      <c r="E21" s="27" t="s">
        <v>1530</v>
      </c>
      <c r="F21" s="36">
        <v>600</v>
      </c>
      <c r="G21" s="37">
        <v>550</v>
      </c>
      <c r="H21" s="36">
        <f t="shared" si="6"/>
        <v>3</v>
      </c>
      <c r="I21" s="36">
        <f t="shared" si="6"/>
        <v>3</v>
      </c>
      <c r="J21" s="36">
        <f>F8</f>
        <v>100</v>
      </c>
      <c r="K21" s="26">
        <f>G8</f>
        <v>85</v>
      </c>
    </row>
    <row r="22" spans="1:11" x14ac:dyDescent="0.25">
      <c r="E22" s="27" t="s">
        <v>1544</v>
      </c>
      <c r="F22" s="36">
        <v>950</v>
      </c>
      <c r="G22" s="36">
        <v>950</v>
      </c>
      <c r="H22" s="36">
        <f t="shared" ref="H22:I27" si="7">ROUNDDOWN(-0.5+SQRT(0.25+2*F22/J22),0)</f>
        <v>4</v>
      </c>
      <c r="I22" s="36">
        <f t="shared" si="7"/>
        <v>4</v>
      </c>
      <c r="J22" s="36">
        <f>F13</f>
        <v>95</v>
      </c>
      <c r="K22" s="26">
        <f>G13</f>
        <v>95</v>
      </c>
    </row>
    <row r="23" spans="1:11" x14ac:dyDescent="0.25">
      <c r="E23" s="27" t="s">
        <v>1519</v>
      </c>
      <c r="F23" s="36">
        <v>1890</v>
      </c>
      <c r="G23" s="36">
        <v>1890</v>
      </c>
      <c r="H23" s="36">
        <f t="shared" si="7"/>
        <v>6</v>
      </c>
      <c r="I23" s="36">
        <f t="shared" si="7"/>
        <v>6</v>
      </c>
      <c r="J23" s="36">
        <f>F10</f>
        <v>90</v>
      </c>
      <c r="K23" s="26">
        <f>G10</f>
        <v>90</v>
      </c>
    </row>
    <row r="24" spans="1:11" x14ac:dyDescent="0.25">
      <c r="E24" s="27" t="s">
        <v>1512</v>
      </c>
      <c r="F24" s="36">
        <v>4500</v>
      </c>
      <c r="G24" s="36">
        <v>4500</v>
      </c>
      <c r="H24" s="36">
        <f t="shared" si="7"/>
        <v>8</v>
      </c>
      <c r="I24" s="36">
        <f t="shared" si="7"/>
        <v>8</v>
      </c>
      <c r="J24" s="36">
        <f>F9</f>
        <v>125</v>
      </c>
      <c r="K24" s="26">
        <f>G9</f>
        <v>125</v>
      </c>
    </row>
    <row r="25" spans="1:11" x14ac:dyDescent="0.25">
      <c r="E25" s="27" t="s">
        <v>1497</v>
      </c>
      <c r="F25" s="36">
        <v>12240</v>
      </c>
      <c r="G25" s="37">
        <v>11500</v>
      </c>
      <c r="H25" s="36">
        <f t="shared" si="7"/>
        <v>16</v>
      </c>
      <c r="I25" s="36">
        <f t="shared" si="7"/>
        <v>16</v>
      </c>
      <c r="J25" s="36">
        <f>F12</f>
        <v>90</v>
      </c>
      <c r="K25" s="26">
        <f>G12</f>
        <v>80</v>
      </c>
    </row>
    <row r="26" spans="1:11" x14ac:dyDescent="0.25">
      <c r="E26" s="27" t="s">
        <v>1493</v>
      </c>
      <c r="F26" s="36">
        <v>29250</v>
      </c>
      <c r="G26" s="37">
        <v>28750</v>
      </c>
      <c r="H26" s="36">
        <f t="shared" si="7"/>
        <v>25</v>
      </c>
      <c r="I26" s="36">
        <f t="shared" si="7"/>
        <v>25</v>
      </c>
      <c r="J26" s="36">
        <f>F11</f>
        <v>90</v>
      </c>
      <c r="K26" s="26">
        <f>G11</f>
        <v>85</v>
      </c>
    </row>
    <row r="27" spans="1:11" x14ac:dyDescent="0.25">
      <c r="E27" s="33" t="s">
        <v>1524</v>
      </c>
      <c r="F27" s="38">
        <v>113400</v>
      </c>
      <c r="G27" s="39">
        <v>100000</v>
      </c>
      <c r="H27" s="38">
        <f t="shared" si="7"/>
        <v>35</v>
      </c>
      <c r="I27" s="38">
        <f t="shared" si="7"/>
        <v>35</v>
      </c>
      <c r="J27" s="38">
        <f>F7</f>
        <v>180</v>
      </c>
      <c r="K27" s="32">
        <f>G7</f>
        <v>155</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1545</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1546</v>
      </c>
      <c r="B1" s="41" t="s">
        <v>482</v>
      </c>
      <c r="C1" s="41" t="s">
        <v>1077</v>
      </c>
      <c r="D1" s="41" t="s">
        <v>1547</v>
      </c>
      <c r="E1" s="42" t="s">
        <v>1548</v>
      </c>
    </row>
    <row r="2" spans="1:5" x14ac:dyDescent="0.25">
      <c r="A2">
        <v>39</v>
      </c>
      <c r="B2" t="s">
        <v>1549</v>
      </c>
      <c r="C2" t="s">
        <v>999</v>
      </c>
      <c r="D2" t="s">
        <v>1550</v>
      </c>
      <c r="E2" t="s">
        <v>1551</v>
      </c>
    </row>
    <row r="3" spans="1:5" x14ac:dyDescent="0.25">
      <c r="A3">
        <v>153</v>
      </c>
      <c r="B3" t="s">
        <v>1552</v>
      </c>
      <c r="C3" t="s">
        <v>999</v>
      </c>
      <c r="D3" t="s">
        <v>1550</v>
      </c>
      <c r="E3" t="s">
        <v>1551</v>
      </c>
    </row>
    <row r="4" spans="1:5" x14ac:dyDescent="0.25">
      <c r="A4">
        <v>86</v>
      </c>
      <c r="B4" t="s">
        <v>1553</v>
      </c>
      <c r="C4" t="s">
        <v>999</v>
      </c>
      <c r="D4" t="s">
        <v>1550</v>
      </c>
      <c r="E4" t="s">
        <v>1551</v>
      </c>
    </row>
    <row r="5" spans="1:5" x14ac:dyDescent="0.25">
      <c r="A5">
        <v>154</v>
      </c>
      <c r="B5" t="s">
        <v>1554</v>
      </c>
      <c r="C5" t="s">
        <v>999</v>
      </c>
      <c r="D5" t="s">
        <v>1550</v>
      </c>
      <c r="E5" t="s">
        <v>1551</v>
      </c>
    </row>
    <row r="6" spans="1:5" x14ac:dyDescent="0.25">
      <c r="A6">
        <v>374</v>
      </c>
      <c r="B6" t="s">
        <v>1555</v>
      </c>
      <c r="C6" t="s">
        <v>1556</v>
      </c>
      <c r="D6" t="s">
        <v>1557</v>
      </c>
      <c r="E6" t="s">
        <v>1501</v>
      </c>
    </row>
    <row r="7" spans="1:5" x14ac:dyDescent="0.25">
      <c r="A7">
        <v>375</v>
      </c>
      <c r="B7" t="s">
        <v>1558</v>
      </c>
      <c r="C7" t="s">
        <v>999</v>
      </c>
      <c r="D7" t="s">
        <v>1550</v>
      </c>
      <c r="E7" t="s">
        <v>1501</v>
      </c>
    </row>
    <row r="8" spans="1:5" x14ac:dyDescent="0.25">
      <c r="A8">
        <v>376</v>
      </c>
      <c r="B8" t="s">
        <v>1559</v>
      </c>
      <c r="C8" t="s">
        <v>1092</v>
      </c>
      <c r="D8" t="s">
        <v>1557</v>
      </c>
      <c r="E8" t="s">
        <v>1501</v>
      </c>
    </row>
    <row r="9" spans="1:5" x14ac:dyDescent="0.25">
      <c r="A9">
        <v>377</v>
      </c>
      <c r="B9" t="s">
        <v>1560</v>
      </c>
      <c r="C9" t="s">
        <v>1086</v>
      </c>
      <c r="D9" t="s">
        <v>1550</v>
      </c>
      <c r="E9" t="s">
        <v>1551</v>
      </c>
    </row>
    <row r="10" spans="1:5" x14ac:dyDescent="0.25">
      <c r="A10">
        <v>378</v>
      </c>
      <c r="B10" t="s">
        <v>1561</v>
      </c>
      <c r="C10" t="s">
        <v>1086</v>
      </c>
      <c r="D10" t="s">
        <v>1550</v>
      </c>
      <c r="E10" t="s">
        <v>1501</v>
      </c>
    </row>
    <row r="11" spans="1:5" x14ac:dyDescent="0.25">
      <c r="A11">
        <v>379</v>
      </c>
      <c r="B11" t="s">
        <v>1562</v>
      </c>
      <c r="C11" t="s">
        <v>1086</v>
      </c>
      <c r="D11" t="s">
        <v>1550</v>
      </c>
      <c r="E11" t="s">
        <v>1501</v>
      </c>
    </row>
    <row r="12" spans="1:5" x14ac:dyDescent="0.25">
      <c r="A12">
        <v>380</v>
      </c>
      <c r="B12" t="s">
        <v>1563</v>
      </c>
      <c r="C12" t="s">
        <v>1564</v>
      </c>
      <c r="D12" t="s">
        <v>1565</v>
      </c>
      <c r="E12" t="s">
        <v>1566</v>
      </c>
    </row>
    <row r="13" spans="1:5" x14ac:dyDescent="0.25">
      <c r="A13">
        <v>381</v>
      </c>
      <c r="B13" t="s">
        <v>1567</v>
      </c>
      <c r="C13" t="s">
        <v>1568</v>
      </c>
      <c r="D13" t="s">
        <v>1550</v>
      </c>
      <c r="E13" t="s">
        <v>1501</v>
      </c>
    </row>
    <row r="14" spans="1:5" x14ac:dyDescent="0.25">
      <c r="A14">
        <v>382</v>
      </c>
      <c r="B14" t="s">
        <v>1569</v>
      </c>
      <c r="C14" t="s">
        <v>1568</v>
      </c>
      <c r="D14" t="s">
        <v>1550</v>
      </c>
      <c r="E14" t="s">
        <v>1501</v>
      </c>
    </row>
    <row r="15" spans="1:5" x14ac:dyDescent="0.25">
      <c r="A15">
        <v>383</v>
      </c>
      <c r="B15" t="s">
        <v>1570</v>
      </c>
      <c r="C15" t="s">
        <v>1568</v>
      </c>
      <c r="D15" t="s">
        <v>1550</v>
      </c>
      <c r="E15" t="s">
        <v>1571</v>
      </c>
    </row>
    <row r="16" spans="1:5" x14ac:dyDescent="0.25">
      <c r="A16">
        <v>384</v>
      </c>
      <c r="B16" t="s">
        <v>1572</v>
      </c>
      <c r="C16" t="s">
        <v>1568</v>
      </c>
      <c r="D16" t="s">
        <v>1550</v>
      </c>
      <c r="E16" t="s">
        <v>1573</v>
      </c>
    </row>
    <row r="17" spans="1:5" x14ac:dyDescent="0.25">
      <c r="A17">
        <v>385</v>
      </c>
      <c r="B17" t="s">
        <v>1574</v>
      </c>
      <c r="C17" t="s">
        <v>1575</v>
      </c>
      <c r="D17" t="s">
        <v>1550</v>
      </c>
      <c r="E17" t="s">
        <v>1571</v>
      </c>
    </row>
    <row r="18" spans="1:5" x14ac:dyDescent="0.25">
      <c r="A18">
        <v>386</v>
      </c>
      <c r="B18" t="s">
        <v>1576</v>
      </c>
      <c r="C18" t="s">
        <v>1577</v>
      </c>
      <c r="D18" t="s">
        <v>1565</v>
      </c>
      <c r="E18" t="s">
        <v>1578</v>
      </c>
    </row>
    <row r="19" spans="1:5" x14ac:dyDescent="0.25">
      <c r="A19">
        <v>387</v>
      </c>
      <c r="B19" t="s">
        <v>1579</v>
      </c>
      <c r="C19" t="s">
        <v>1094</v>
      </c>
      <c r="D19" t="s">
        <v>1550</v>
      </c>
      <c r="E19" t="s">
        <v>1566</v>
      </c>
    </row>
    <row r="20" spans="1:5" x14ac:dyDescent="0.25">
      <c r="A20">
        <v>388</v>
      </c>
      <c r="B20" t="s">
        <v>1580</v>
      </c>
      <c r="C20" t="s">
        <v>1094</v>
      </c>
      <c r="D20" t="s">
        <v>1550</v>
      </c>
      <c r="E20" t="s">
        <v>1501</v>
      </c>
    </row>
    <row r="21" spans="1:5" x14ac:dyDescent="0.25">
      <c r="A21">
        <v>389</v>
      </c>
      <c r="B21" t="s">
        <v>1581</v>
      </c>
      <c r="C21" t="s">
        <v>1094</v>
      </c>
      <c r="D21" t="s">
        <v>1550</v>
      </c>
      <c r="E21" t="s">
        <v>1582</v>
      </c>
    </row>
    <row r="22" spans="1:5" x14ac:dyDescent="0.25">
      <c r="A22">
        <v>390</v>
      </c>
      <c r="B22" t="s">
        <v>1583</v>
      </c>
      <c r="C22" t="s">
        <v>1094</v>
      </c>
      <c r="D22" t="s">
        <v>1550</v>
      </c>
      <c r="E22" t="s">
        <v>1584</v>
      </c>
    </row>
    <row r="23" spans="1:5" x14ac:dyDescent="0.25">
      <c r="A23">
        <v>391</v>
      </c>
      <c r="B23" t="s">
        <v>1585</v>
      </c>
      <c r="C23" t="s">
        <v>1586</v>
      </c>
      <c r="D23" t="s">
        <v>1550</v>
      </c>
      <c r="E23" t="s">
        <v>1587</v>
      </c>
    </row>
    <row r="24" spans="1:5" x14ac:dyDescent="0.25">
      <c r="A24">
        <v>392</v>
      </c>
      <c r="B24" t="s">
        <v>1588</v>
      </c>
      <c r="C24" t="s">
        <v>1556</v>
      </c>
      <c r="D24" t="s">
        <v>1557</v>
      </c>
      <c r="E24" t="s">
        <v>1589</v>
      </c>
    </row>
    <row r="25" spans="1:5" x14ac:dyDescent="0.25">
      <c r="A25">
        <v>393</v>
      </c>
      <c r="B25" t="s">
        <v>1167</v>
      </c>
      <c r="C25" t="s">
        <v>1586</v>
      </c>
      <c r="D25" t="s">
        <v>1550</v>
      </c>
      <c r="E25" t="s">
        <v>1590</v>
      </c>
    </row>
    <row r="26" spans="1:5" x14ac:dyDescent="0.25">
      <c r="A26">
        <v>394</v>
      </c>
      <c r="B26" t="s">
        <v>1591</v>
      </c>
      <c r="C26" t="s">
        <v>1586</v>
      </c>
      <c r="D26" t="s">
        <v>1550</v>
      </c>
      <c r="E26" t="s">
        <v>1592</v>
      </c>
    </row>
    <row r="27" spans="1:5" x14ac:dyDescent="0.25">
      <c r="A27">
        <v>395</v>
      </c>
      <c r="B27" t="s">
        <v>1593</v>
      </c>
      <c r="C27" t="s">
        <v>1586</v>
      </c>
      <c r="D27" t="s">
        <v>1550</v>
      </c>
      <c r="E27" t="s">
        <v>1594</v>
      </c>
    </row>
    <row r="28" spans="1:5" x14ac:dyDescent="0.25">
      <c r="A28">
        <v>396</v>
      </c>
      <c r="B28" t="s">
        <v>923</v>
      </c>
      <c r="C28" t="s">
        <v>1586</v>
      </c>
      <c r="D28" t="s">
        <v>1550</v>
      </c>
      <c r="E28" t="s">
        <v>1589</v>
      </c>
    </row>
    <row r="29" spans="1:5" x14ac:dyDescent="0.25">
      <c r="A29">
        <v>397</v>
      </c>
      <c r="B29" t="s">
        <v>1595</v>
      </c>
      <c r="C29" t="s">
        <v>1586</v>
      </c>
      <c r="D29" t="s">
        <v>1550</v>
      </c>
      <c r="E29" t="s">
        <v>1596</v>
      </c>
    </row>
    <row r="30" spans="1:5" x14ac:dyDescent="0.25">
      <c r="A30">
        <v>398</v>
      </c>
      <c r="B30" t="s">
        <v>1597</v>
      </c>
      <c r="C30" t="s">
        <v>1586</v>
      </c>
      <c r="D30" t="s">
        <v>1550</v>
      </c>
      <c r="E30" t="s">
        <v>1598</v>
      </c>
    </row>
    <row r="31" spans="1:5" x14ac:dyDescent="0.25">
      <c r="A31">
        <v>399</v>
      </c>
      <c r="B31" t="s">
        <v>1599</v>
      </c>
      <c r="C31" t="s">
        <v>1586</v>
      </c>
      <c r="D31" t="s">
        <v>1550</v>
      </c>
      <c r="E31" t="s">
        <v>1589</v>
      </c>
    </row>
    <row r="32" spans="1:5" x14ac:dyDescent="0.25">
      <c r="A32">
        <v>400</v>
      </c>
      <c r="B32" t="s">
        <v>1600</v>
      </c>
      <c r="C32" t="s">
        <v>1556</v>
      </c>
      <c r="D32" t="s">
        <v>1557</v>
      </c>
      <c r="E32" t="s">
        <v>1501</v>
      </c>
    </row>
    <row r="33" spans="1:5" x14ac:dyDescent="0.25">
      <c r="A33">
        <v>401</v>
      </c>
      <c r="B33" t="s">
        <v>1601</v>
      </c>
      <c r="C33" t="s">
        <v>1602</v>
      </c>
      <c r="D33" t="s">
        <v>1557</v>
      </c>
    </row>
    <row r="34" spans="1:5" x14ac:dyDescent="0.25">
      <c r="A34">
        <v>402</v>
      </c>
      <c r="B34" t="s">
        <v>1603</v>
      </c>
      <c r="C34" t="s">
        <v>1604</v>
      </c>
      <c r="D34" t="s">
        <v>1557</v>
      </c>
      <c r="E34" t="s">
        <v>1605</v>
      </c>
    </row>
    <row r="35" spans="1:5" x14ac:dyDescent="0.25">
      <c r="A35">
        <v>403</v>
      </c>
      <c r="B35" t="s">
        <v>1606</v>
      </c>
      <c r="C35" t="s">
        <v>1604</v>
      </c>
      <c r="D35" t="s">
        <v>1557</v>
      </c>
    </row>
    <row r="36" spans="1:5" x14ac:dyDescent="0.25">
      <c r="A36">
        <v>404</v>
      </c>
      <c r="B36" t="s">
        <v>1607</v>
      </c>
      <c r="C36" t="s">
        <v>1604</v>
      </c>
      <c r="D36" t="s">
        <v>1557</v>
      </c>
    </row>
    <row r="37" spans="1:5" x14ac:dyDescent="0.25">
      <c r="A37">
        <v>405</v>
      </c>
      <c r="B37" t="s">
        <v>1608</v>
      </c>
      <c r="C37" t="s">
        <v>1609</v>
      </c>
      <c r="D37" t="s">
        <v>1557</v>
      </c>
    </row>
    <row r="38" spans="1:5" x14ac:dyDescent="0.25">
      <c r="A38">
        <v>406</v>
      </c>
      <c r="B38" t="s">
        <v>1610</v>
      </c>
      <c r="C38" t="s">
        <v>1609</v>
      </c>
      <c r="D38" t="s">
        <v>1557</v>
      </c>
    </row>
    <row r="39" spans="1:5" x14ac:dyDescent="0.25">
      <c r="A39">
        <v>407</v>
      </c>
      <c r="B39" t="s">
        <v>1611</v>
      </c>
      <c r="C39" t="s">
        <v>1609</v>
      </c>
      <c r="D39" t="s">
        <v>1557</v>
      </c>
    </row>
    <row r="40" spans="1:5" x14ac:dyDescent="0.25">
      <c r="A40">
        <v>408</v>
      </c>
      <c r="B40" t="s">
        <v>1612</v>
      </c>
      <c r="C40" t="s">
        <v>1609</v>
      </c>
      <c r="D40" t="s">
        <v>1557</v>
      </c>
      <c r="E40" t="s">
        <v>1613</v>
      </c>
    </row>
    <row r="41" spans="1:5" x14ac:dyDescent="0.25">
      <c r="A41">
        <v>409</v>
      </c>
      <c r="B41" t="s">
        <v>1614</v>
      </c>
      <c r="C41" t="s">
        <v>1609</v>
      </c>
      <c r="D41" t="s">
        <v>1557</v>
      </c>
    </row>
    <row r="42" spans="1:5" x14ac:dyDescent="0.25">
      <c r="A42">
        <v>410</v>
      </c>
      <c r="B42" t="s">
        <v>1615</v>
      </c>
      <c r="C42" t="s">
        <v>1609</v>
      </c>
      <c r="D42" t="s">
        <v>1557</v>
      </c>
      <c r="E42" t="s">
        <v>1616</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1"/>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1546</v>
      </c>
      <c r="B1" s="12" t="s">
        <v>482</v>
      </c>
      <c r="C1" s="12" t="s">
        <v>1077</v>
      </c>
      <c r="D1" s="12" t="s">
        <v>1547</v>
      </c>
    </row>
    <row r="2" spans="1:4" x14ac:dyDescent="0.25">
      <c r="A2">
        <v>173</v>
      </c>
      <c r="B2" t="s">
        <v>1617</v>
      </c>
      <c r="C2" t="s">
        <v>1618</v>
      </c>
      <c r="D2" t="s">
        <v>1619</v>
      </c>
    </row>
    <row r="3" spans="1:4" x14ac:dyDescent="0.25">
      <c r="A3">
        <v>174</v>
      </c>
      <c r="B3" t="s">
        <v>1620</v>
      </c>
      <c r="C3" t="s">
        <v>1086</v>
      </c>
      <c r="D3" t="s">
        <v>1621</v>
      </c>
    </row>
    <row r="4" spans="1:4" x14ac:dyDescent="0.25">
      <c r="A4">
        <v>175</v>
      </c>
      <c r="B4" t="s">
        <v>1622</v>
      </c>
      <c r="C4" t="s">
        <v>1086</v>
      </c>
      <c r="D4" t="s">
        <v>1621</v>
      </c>
    </row>
    <row r="5" spans="1:4" x14ac:dyDescent="0.25">
      <c r="A5">
        <v>176</v>
      </c>
      <c r="B5" t="s">
        <v>1623</v>
      </c>
      <c r="C5" t="s">
        <v>1088</v>
      </c>
      <c r="D5" t="s">
        <v>1619</v>
      </c>
    </row>
    <row r="6" spans="1:4" x14ac:dyDescent="0.25">
      <c r="A6">
        <v>177</v>
      </c>
      <c r="B6" t="s">
        <v>1624</v>
      </c>
      <c r="C6" t="s">
        <v>1088</v>
      </c>
      <c r="D6" t="s">
        <v>1619</v>
      </c>
    </row>
    <row r="7" spans="1:4" x14ac:dyDescent="0.25">
      <c r="A7">
        <v>178</v>
      </c>
      <c r="B7" t="s">
        <v>1625</v>
      </c>
      <c r="C7" t="s">
        <v>1626</v>
      </c>
      <c r="D7" t="s">
        <v>1621</v>
      </c>
    </row>
    <row r="8" spans="1:4" x14ac:dyDescent="0.25">
      <c r="A8">
        <v>179</v>
      </c>
      <c r="B8" t="s">
        <v>1627</v>
      </c>
      <c r="C8" t="s">
        <v>1097</v>
      </c>
      <c r="D8" t="s">
        <v>1621</v>
      </c>
    </row>
    <row r="9" spans="1:4" x14ac:dyDescent="0.25">
      <c r="A9">
        <v>180</v>
      </c>
      <c r="B9" t="s">
        <v>1628</v>
      </c>
      <c r="C9" t="s">
        <v>1097</v>
      </c>
      <c r="D9" t="s">
        <v>1621</v>
      </c>
    </row>
    <row r="10" spans="1:4" x14ac:dyDescent="0.25">
      <c r="A10">
        <v>181</v>
      </c>
      <c r="B10" t="s">
        <v>1629</v>
      </c>
      <c r="C10" t="s">
        <v>1097</v>
      </c>
      <c r="D10" t="s">
        <v>1621</v>
      </c>
    </row>
    <row r="11" spans="1:4" x14ac:dyDescent="0.25">
      <c r="A11">
        <v>182</v>
      </c>
      <c r="B11" t="s">
        <v>1630</v>
      </c>
      <c r="C11" t="s">
        <v>1097</v>
      </c>
      <c r="D11" t="s">
        <v>1621</v>
      </c>
    </row>
    <row r="12" spans="1:4" x14ac:dyDescent="0.25">
      <c r="A12">
        <v>183</v>
      </c>
      <c r="B12" t="s">
        <v>1631</v>
      </c>
      <c r="C12" t="s">
        <v>1097</v>
      </c>
      <c r="D12" t="s">
        <v>1621</v>
      </c>
    </row>
    <row r="13" spans="1:4" x14ac:dyDescent="0.25">
      <c r="A13">
        <v>184</v>
      </c>
      <c r="B13" t="s">
        <v>1632</v>
      </c>
      <c r="C13" t="s">
        <v>1099</v>
      </c>
      <c r="D13" t="s">
        <v>1619</v>
      </c>
    </row>
    <row r="14" spans="1:4" x14ac:dyDescent="0.25">
      <c r="A14">
        <v>185</v>
      </c>
      <c r="B14" t="s">
        <v>1633</v>
      </c>
      <c r="C14" t="s">
        <v>1099</v>
      </c>
      <c r="D14" t="s">
        <v>1619</v>
      </c>
    </row>
    <row r="15" spans="1:4" x14ac:dyDescent="0.25">
      <c r="A15">
        <v>186</v>
      </c>
      <c r="B15" t="s">
        <v>1634</v>
      </c>
      <c r="C15" t="s">
        <v>1099</v>
      </c>
      <c r="D15" t="s">
        <v>1619</v>
      </c>
    </row>
    <row r="16" spans="1:4" x14ac:dyDescent="0.25">
      <c r="A16">
        <v>187</v>
      </c>
      <c r="B16" t="s">
        <v>1635</v>
      </c>
      <c r="C16" t="s">
        <v>1102</v>
      </c>
      <c r="D16" t="s">
        <v>1619</v>
      </c>
    </row>
    <row r="17" spans="1:4" x14ac:dyDescent="0.25">
      <c r="A17">
        <v>188</v>
      </c>
      <c r="B17" t="s">
        <v>1636</v>
      </c>
      <c r="C17" t="s">
        <v>1102</v>
      </c>
      <c r="D17" t="s">
        <v>1619</v>
      </c>
    </row>
    <row r="18" spans="1:4" x14ac:dyDescent="0.25">
      <c r="A18">
        <v>189</v>
      </c>
      <c r="B18" t="s">
        <v>1637</v>
      </c>
      <c r="C18" t="s">
        <v>1102</v>
      </c>
      <c r="D18" t="s">
        <v>1619</v>
      </c>
    </row>
    <row r="19" spans="1:4" x14ac:dyDescent="0.25">
      <c r="A19">
        <v>190</v>
      </c>
      <c r="B19" t="s">
        <v>1638</v>
      </c>
      <c r="C19" t="s">
        <v>1609</v>
      </c>
      <c r="D19" t="s">
        <v>1619</v>
      </c>
    </row>
    <row r="20" spans="1:4" x14ac:dyDescent="0.25">
      <c r="A20">
        <v>191</v>
      </c>
      <c r="B20" t="s">
        <v>1639</v>
      </c>
      <c r="C20" t="s">
        <v>1609</v>
      </c>
      <c r="D20" t="s">
        <v>1619</v>
      </c>
    </row>
    <row r="21" spans="1:4" x14ac:dyDescent="0.25">
      <c r="A21">
        <v>192</v>
      </c>
      <c r="B21" t="s">
        <v>1640</v>
      </c>
      <c r="C21" t="s">
        <v>1609</v>
      </c>
      <c r="D21" t="s">
        <v>1619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42"/>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1546</v>
      </c>
      <c r="B1" s="12" t="s">
        <v>482</v>
      </c>
      <c r="C1" s="12" t="s">
        <v>1077</v>
      </c>
      <c r="D1" s="12" t="s">
        <v>1547</v>
      </c>
    </row>
    <row r="2" spans="1:4" x14ac:dyDescent="0.25">
      <c r="A2">
        <v>92</v>
      </c>
      <c r="B2" t="s">
        <v>1641</v>
      </c>
      <c r="C2" t="s">
        <v>1080</v>
      </c>
      <c r="D2" t="s">
        <v>1642</v>
      </c>
    </row>
    <row r="3" spans="1:4" x14ac:dyDescent="0.25">
      <c r="A3">
        <v>93</v>
      </c>
      <c r="B3" t="s">
        <v>1643</v>
      </c>
      <c r="C3" t="s">
        <v>1080</v>
      </c>
      <c r="D3" t="s">
        <v>1642</v>
      </c>
    </row>
    <row r="4" spans="1:4" x14ac:dyDescent="0.25">
      <c r="A4">
        <v>94</v>
      </c>
      <c r="B4" t="s">
        <v>1644</v>
      </c>
      <c r="C4" t="s">
        <v>1080</v>
      </c>
      <c r="D4" t="s">
        <v>1642</v>
      </c>
    </row>
    <row r="5" spans="1:4" x14ac:dyDescent="0.25">
      <c r="A5">
        <v>95</v>
      </c>
      <c r="B5" t="s">
        <v>1645</v>
      </c>
      <c r="C5" t="s">
        <v>1646</v>
      </c>
      <c r="D5" t="s">
        <v>1647</v>
      </c>
    </row>
    <row r="6" spans="1:4" x14ac:dyDescent="0.25">
      <c r="A6">
        <v>96</v>
      </c>
      <c r="B6" t="s">
        <v>1648</v>
      </c>
      <c r="C6" t="s">
        <v>1649</v>
      </c>
      <c r="D6" t="s">
        <v>1647</v>
      </c>
    </row>
    <row r="7" spans="1:4" x14ac:dyDescent="0.25">
      <c r="A7">
        <v>97</v>
      </c>
      <c r="B7" t="s">
        <v>1650</v>
      </c>
      <c r="C7" t="s">
        <v>1649</v>
      </c>
      <c r="D7" t="s">
        <v>1647</v>
      </c>
    </row>
    <row r="8" spans="1:4" x14ac:dyDescent="0.25">
      <c r="A8">
        <v>98</v>
      </c>
      <c r="B8" t="s">
        <v>1651</v>
      </c>
      <c r="C8" t="s">
        <v>1086</v>
      </c>
      <c r="D8" t="s">
        <v>1642</v>
      </c>
    </row>
    <row r="9" spans="1:4" x14ac:dyDescent="0.25">
      <c r="A9">
        <v>99</v>
      </c>
      <c r="B9" t="s">
        <v>1652</v>
      </c>
      <c r="C9" t="s">
        <v>1653</v>
      </c>
      <c r="D9" t="s">
        <v>1642</v>
      </c>
    </row>
    <row r="10" spans="1:4" x14ac:dyDescent="0.25">
      <c r="A10">
        <v>100</v>
      </c>
      <c r="B10" t="s">
        <v>1654</v>
      </c>
      <c r="C10" t="s">
        <v>1653</v>
      </c>
      <c r="D10" t="s">
        <v>1642</v>
      </c>
    </row>
    <row r="11" spans="1:4" x14ac:dyDescent="0.25">
      <c r="A11">
        <v>101</v>
      </c>
      <c r="B11" t="s">
        <v>1655</v>
      </c>
      <c r="C11" t="s">
        <v>1653</v>
      </c>
      <c r="D11" t="s">
        <v>1642</v>
      </c>
    </row>
    <row r="12" spans="1:4" x14ac:dyDescent="0.25">
      <c r="A12">
        <v>102</v>
      </c>
      <c r="B12" t="s">
        <v>1656</v>
      </c>
      <c r="C12" t="s">
        <v>10</v>
      </c>
      <c r="D12" t="s">
        <v>1647</v>
      </c>
    </row>
    <row r="13" spans="1:4" x14ac:dyDescent="0.25">
      <c r="A13">
        <v>103</v>
      </c>
      <c r="B13" t="s">
        <v>1657</v>
      </c>
      <c r="C13" t="s">
        <v>1094</v>
      </c>
      <c r="D13" t="s">
        <v>1642</v>
      </c>
    </row>
    <row r="14" spans="1:4" x14ac:dyDescent="0.25">
      <c r="A14">
        <v>104</v>
      </c>
      <c r="B14" t="s">
        <v>1658</v>
      </c>
      <c r="C14" t="s">
        <v>1094</v>
      </c>
      <c r="D14" t="s">
        <v>1642</v>
      </c>
    </row>
    <row r="15" spans="1:4" x14ac:dyDescent="0.25">
      <c r="A15">
        <v>105</v>
      </c>
      <c r="B15" t="s">
        <v>1659</v>
      </c>
      <c r="C15" t="s">
        <v>1094</v>
      </c>
      <c r="D15" t="s">
        <v>1642</v>
      </c>
    </row>
    <row r="16" spans="1:4" x14ac:dyDescent="0.25">
      <c r="A16">
        <v>106</v>
      </c>
      <c r="B16" t="s">
        <v>1660</v>
      </c>
      <c r="C16" t="s">
        <v>1094</v>
      </c>
      <c r="D16" t="s">
        <v>1642</v>
      </c>
    </row>
    <row r="17" spans="1:4" x14ac:dyDescent="0.25">
      <c r="A17">
        <v>107</v>
      </c>
      <c r="B17" t="s">
        <v>1661</v>
      </c>
      <c r="C17" t="s">
        <v>1094</v>
      </c>
      <c r="D17" t="s">
        <v>1642</v>
      </c>
    </row>
    <row r="18" spans="1:4" x14ac:dyDescent="0.25">
      <c r="A18">
        <v>108</v>
      </c>
      <c r="B18" t="s">
        <v>1662</v>
      </c>
      <c r="C18" t="s">
        <v>1094</v>
      </c>
      <c r="D18" t="s">
        <v>1642</v>
      </c>
    </row>
    <row r="19" spans="1:4" x14ac:dyDescent="0.25">
      <c r="A19">
        <v>109</v>
      </c>
      <c r="B19" t="s">
        <v>1663</v>
      </c>
      <c r="C19" t="s">
        <v>1097</v>
      </c>
      <c r="D19" t="s">
        <v>1642</v>
      </c>
    </row>
    <row r="20" spans="1:4" x14ac:dyDescent="0.25">
      <c r="A20">
        <v>110</v>
      </c>
      <c r="B20" t="s">
        <v>1664</v>
      </c>
      <c r="C20" t="s">
        <v>1097</v>
      </c>
      <c r="D20" t="s">
        <v>1642</v>
      </c>
    </row>
    <row r="21" spans="1:4" x14ac:dyDescent="0.25">
      <c r="A21">
        <v>111</v>
      </c>
      <c r="B21" t="s">
        <v>1665</v>
      </c>
      <c r="C21" t="s">
        <v>1099</v>
      </c>
      <c r="D21" t="s">
        <v>1647</v>
      </c>
    </row>
    <row r="22" spans="1:4" x14ac:dyDescent="0.25">
      <c r="A22">
        <v>112</v>
      </c>
      <c r="B22" t="s">
        <v>1666</v>
      </c>
      <c r="C22" t="s">
        <v>1099</v>
      </c>
      <c r="D22" t="s">
        <v>1647</v>
      </c>
    </row>
    <row r="23" spans="1:4" x14ac:dyDescent="0.25">
      <c r="A23">
        <v>113</v>
      </c>
      <c r="B23" t="s">
        <v>1667</v>
      </c>
      <c r="C23" t="s">
        <v>1099</v>
      </c>
      <c r="D23" t="s">
        <v>1647</v>
      </c>
    </row>
    <row r="24" spans="1:4" x14ac:dyDescent="0.25">
      <c r="A24">
        <v>114</v>
      </c>
      <c r="B24" t="s">
        <v>1668</v>
      </c>
      <c r="C24" t="s">
        <v>1099</v>
      </c>
      <c r="D24" t="s">
        <v>1647</v>
      </c>
    </row>
    <row r="25" spans="1:4" x14ac:dyDescent="0.25">
      <c r="A25">
        <v>115</v>
      </c>
      <c r="B25" t="s">
        <v>1669</v>
      </c>
      <c r="C25" t="s">
        <v>1099</v>
      </c>
      <c r="D25" t="s">
        <v>1647</v>
      </c>
    </row>
    <row r="26" spans="1:4" x14ac:dyDescent="0.25">
      <c r="A26">
        <v>116</v>
      </c>
      <c r="B26" t="s">
        <v>1670</v>
      </c>
      <c r="C26" t="s">
        <v>1099</v>
      </c>
      <c r="D26" t="s">
        <v>1647</v>
      </c>
    </row>
    <row r="27" spans="1:4" x14ac:dyDescent="0.25">
      <c r="A27">
        <v>117</v>
      </c>
      <c r="B27" t="s">
        <v>1671</v>
      </c>
      <c r="C27" t="s">
        <v>1099</v>
      </c>
      <c r="D27" t="s">
        <v>1647</v>
      </c>
    </row>
    <row r="28" spans="1:4" x14ac:dyDescent="0.25">
      <c r="A28">
        <v>118</v>
      </c>
      <c r="B28" t="s">
        <v>1672</v>
      </c>
      <c r="C28" t="s">
        <v>1099</v>
      </c>
      <c r="D28" t="s">
        <v>1647</v>
      </c>
    </row>
    <row r="29" spans="1:4" x14ac:dyDescent="0.25">
      <c r="A29">
        <v>119</v>
      </c>
      <c r="B29" t="s">
        <v>1673</v>
      </c>
      <c r="C29" t="s">
        <v>1099</v>
      </c>
      <c r="D29" t="s">
        <v>1647</v>
      </c>
    </row>
    <row r="30" spans="1:4" x14ac:dyDescent="0.25">
      <c r="A30">
        <v>120</v>
      </c>
      <c r="B30" t="s">
        <v>1674</v>
      </c>
      <c r="C30" t="s">
        <v>1102</v>
      </c>
      <c r="D30" t="s">
        <v>1647</v>
      </c>
    </row>
    <row r="31" spans="1:4" x14ac:dyDescent="0.25">
      <c r="A31">
        <v>121</v>
      </c>
      <c r="B31" t="s">
        <v>1675</v>
      </c>
      <c r="C31" t="s">
        <v>1102</v>
      </c>
      <c r="D31" t="s">
        <v>1647</v>
      </c>
    </row>
    <row r="32" spans="1:4" x14ac:dyDescent="0.25">
      <c r="A32">
        <v>122</v>
      </c>
      <c r="B32" t="s">
        <v>1676</v>
      </c>
      <c r="C32" t="s">
        <v>1102</v>
      </c>
      <c r="D32" t="s">
        <v>1647</v>
      </c>
    </row>
    <row r="33" spans="1:5" x14ac:dyDescent="0.25">
      <c r="A33">
        <v>123</v>
      </c>
      <c r="B33" t="s">
        <v>1677</v>
      </c>
      <c r="C33" t="s">
        <v>1102</v>
      </c>
      <c r="D33" t="s">
        <v>1647</v>
      </c>
    </row>
    <row r="34" spans="1:5" x14ac:dyDescent="0.25">
      <c r="A34">
        <v>124</v>
      </c>
      <c r="B34" t="s">
        <v>1678</v>
      </c>
      <c r="C34" t="s">
        <v>1609</v>
      </c>
      <c r="D34" t="s">
        <v>1647</v>
      </c>
    </row>
    <row r="35" spans="1:5" x14ac:dyDescent="0.25">
      <c r="A35">
        <v>125</v>
      </c>
      <c r="B35" t="s">
        <v>1679</v>
      </c>
      <c r="C35" t="s">
        <v>1609</v>
      </c>
      <c r="D35" t="s">
        <v>1647</v>
      </c>
    </row>
    <row r="36" spans="1:5" x14ac:dyDescent="0.25">
      <c r="A36">
        <v>126</v>
      </c>
      <c r="B36" t="s">
        <v>1680</v>
      </c>
      <c r="C36" t="s">
        <v>1609</v>
      </c>
      <c r="D36" t="s">
        <v>1647</v>
      </c>
    </row>
    <row r="37" spans="1:5" x14ac:dyDescent="0.25">
      <c r="A37">
        <v>127</v>
      </c>
      <c r="B37" t="s">
        <v>1681</v>
      </c>
      <c r="C37" t="s">
        <v>1609</v>
      </c>
      <c r="D37" t="s">
        <v>1647</v>
      </c>
    </row>
    <row r="38" spans="1:5" x14ac:dyDescent="0.25">
      <c r="A38">
        <v>128</v>
      </c>
      <c r="B38" t="s">
        <v>1682</v>
      </c>
      <c r="C38" t="s">
        <v>1609</v>
      </c>
      <c r="D38" t="s">
        <v>1647</v>
      </c>
    </row>
    <row r="39" spans="1:5" x14ac:dyDescent="0.25">
      <c r="A39">
        <v>129</v>
      </c>
      <c r="B39" t="s">
        <v>1683</v>
      </c>
      <c r="C39" t="s">
        <v>1609</v>
      </c>
      <c r="D39" t="s">
        <v>1647</v>
      </c>
    </row>
    <row r="40" spans="1:5" x14ac:dyDescent="0.25">
      <c r="A40">
        <v>130</v>
      </c>
      <c r="B40" t="s">
        <v>1684</v>
      </c>
      <c r="C40" t="s">
        <v>1609</v>
      </c>
      <c r="D40" t="s">
        <v>1647</v>
      </c>
    </row>
    <row r="41" spans="1:5" x14ac:dyDescent="0.25">
      <c r="A41">
        <v>131</v>
      </c>
      <c r="B41" t="s">
        <v>1685</v>
      </c>
      <c r="C41" t="s">
        <v>1609</v>
      </c>
      <c r="D41" t="s">
        <v>1647</v>
      </c>
    </row>
    <row r="42" spans="1:5" x14ac:dyDescent="0.25">
      <c r="A42">
        <v>132</v>
      </c>
      <c r="B42" t="s">
        <v>1686</v>
      </c>
      <c r="C42" t="s">
        <v>1104</v>
      </c>
      <c r="D42" t="s">
        <v>1647</v>
      </c>
      <c r="E42" t="s">
        <v>1687</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1688</v>
      </c>
    </row>
    <row r="2" spans="1:2" x14ac:dyDescent="0.25">
      <c r="A2">
        <v>18</v>
      </c>
      <c r="B2" t="s">
        <v>1689</v>
      </c>
    </row>
    <row r="3" spans="1:2" x14ac:dyDescent="0.25">
      <c r="A3">
        <v>19</v>
      </c>
      <c r="B3" t="s">
        <v>1690</v>
      </c>
    </row>
    <row r="4" spans="1:2" x14ac:dyDescent="0.25">
      <c r="A4">
        <v>20</v>
      </c>
      <c r="B4" t="s">
        <v>1691</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1692</v>
      </c>
    </row>
    <row r="3" spans="1:5" x14ac:dyDescent="0.25">
      <c r="A3" t="s">
        <v>839</v>
      </c>
      <c r="B3" t="s">
        <v>482</v>
      </c>
      <c r="C3" t="s">
        <v>1693</v>
      </c>
      <c r="D3" t="s">
        <v>1694</v>
      </c>
      <c r="E3" t="s">
        <v>1695</v>
      </c>
    </row>
    <row r="4" spans="1:5" x14ac:dyDescent="0.25">
      <c r="A4">
        <v>10</v>
      </c>
      <c r="B4" t="s">
        <v>1696</v>
      </c>
      <c r="C4">
        <v>382</v>
      </c>
      <c r="D4" t="s">
        <v>1586</v>
      </c>
      <c r="E4">
        <v>51</v>
      </c>
    </row>
    <row r="5" spans="1:5" x14ac:dyDescent="0.25">
      <c r="A5">
        <v>11</v>
      </c>
      <c r="B5" t="s">
        <v>1697</v>
      </c>
      <c r="C5">
        <v>382</v>
      </c>
      <c r="D5" t="s">
        <v>1586</v>
      </c>
      <c r="E5">
        <v>52</v>
      </c>
    </row>
    <row r="6" spans="1:5" x14ac:dyDescent="0.25">
      <c r="A6">
        <v>12</v>
      </c>
      <c r="B6" t="s">
        <v>1698</v>
      </c>
      <c r="C6">
        <v>481</v>
      </c>
      <c r="D6" t="s">
        <v>1699</v>
      </c>
      <c r="E6">
        <v>56</v>
      </c>
    </row>
    <row r="7" spans="1:5" x14ac:dyDescent="0.25">
      <c r="A7">
        <v>13</v>
      </c>
      <c r="B7" t="s">
        <v>1700</v>
      </c>
      <c r="C7" t="s">
        <v>1701</v>
      </c>
      <c r="D7" t="s">
        <v>1702</v>
      </c>
      <c r="E7">
        <v>57</v>
      </c>
    </row>
    <row r="8" spans="1:5" x14ac:dyDescent="0.25">
      <c r="A8">
        <v>14</v>
      </c>
      <c r="B8" t="s">
        <v>1703</v>
      </c>
      <c r="C8" t="s">
        <v>1704</v>
      </c>
      <c r="D8" t="s">
        <v>1705</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69" t="s">
        <v>1706</v>
      </c>
      <c r="B1" s="69"/>
      <c r="C1" s="69"/>
      <c r="G1" s="69" t="s">
        <v>1707</v>
      </c>
      <c r="H1" s="69"/>
      <c r="I1" s="69"/>
    </row>
    <row r="2" spans="1:9" x14ac:dyDescent="0.25">
      <c r="A2" t="s">
        <v>1708</v>
      </c>
      <c r="B2" t="s">
        <v>486</v>
      </c>
      <c r="C2" t="s">
        <v>482</v>
      </c>
      <c r="G2" t="s">
        <v>1708</v>
      </c>
      <c r="H2" t="s">
        <v>486</v>
      </c>
      <c r="I2" t="s">
        <v>482</v>
      </c>
    </row>
    <row r="3" spans="1:9" x14ac:dyDescent="0.25">
      <c r="A3">
        <v>4</v>
      </c>
      <c r="B3">
        <v>1193</v>
      </c>
      <c r="C3" t="s">
        <v>1709</v>
      </c>
      <c r="G3">
        <v>4</v>
      </c>
      <c r="H3">
        <v>1167</v>
      </c>
      <c r="I3" t="s">
        <v>1709</v>
      </c>
    </row>
    <row r="4" spans="1:9" x14ac:dyDescent="0.25">
      <c r="A4">
        <v>4</v>
      </c>
      <c r="B4">
        <v>1194</v>
      </c>
      <c r="C4" t="s">
        <v>1709</v>
      </c>
      <c r="G4">
        <v>4</v>
      </c>
      <c r="H4">
        <v>1168</v>
      </c>
      <c r="I4" t="s">
        <v>1709</v>
      </c>
    </row>
    <row r="5" spans="1:9" x14ac:dyDescent="0.25">
      <c r="A5">
        <v>4</v>
      </c>
      <c r="B5">
        <v>1195</v>
      </c>
      <c r="C5" t="s">
        <v>1709</v>
      </c>
      <c r="G5">
        <v>4</v>
      </c>
      <c r="H5">
        <v>1169</v>
      </c>
      <c r="I5" t="s">
        <v>1709</v>
      </c>
    </row>
    <row r="6" spans="1:9" x14ac:dyDescent="0.25">
      <c r="A6">
        <v>4</v>
      </c>
      <c r="B6">
        <v>1196</v>
      </c>
      <c r="C6" t="s">
        <v>1709</v>
      </c>
      <c r="G6">
        <v>4</v>
      </c>
      <c r="H6">
        <v>1170</v>
      </c>
      <c r="I6" t="s">
        <v>1709</v>
      </c>
    </row>
    <row r="7" spans="1:9" x14ac:dyDescent="0.25">
      <c r="A7">
        <v>4</v>
      </c>
      <c r="B7">
        <v>1197</v>
      </c>
      <c r="C7" t="s">
        <v>1709</v>
      </c>
      <c r="G7">
        <v>4</v>
      </c>
      <c r="H7">
        <v>1171</v>
      </c>
      <c r="I7" t="s">
        <v>1709</v>
      </c>
    </row>
    <row r="8" spans="1:9" x14ac:dyDescent="0.25">
      <c r="A8">
        <v>4</v>
      </c>
      <c r="B8">
        <v>1198</v>
      </c>
      <c r="C8" t="s">
        <v>1709</v>
      </c>
      <c r="G8">
        <v>4</v>
      </c>
      <c r="H8">
        <v>1172</v>
      </c>
      <c r="I8" t="s">
        <v>1709</v>
      </c>
    </row>
    <row r="9" spans="1:9" x14ac:dyDescent="0.25">
      <c r="A9">
        <v>4</v>
      </c>
      <c r="B9">
        <v>1199</v>
      </c>
      <c r="C9" t="s">
        <v>1709</v>
      </c>
      <c r="G9">
        <v>4</v>
      </c>
      <c r="H9">
        <v>1173</v>
      </c>
      <c r="I9" t="s">
        <v>1709</v>
      </c>
    </row>
    <row r="10" spans="1:9" x14ac:dyDescent="0.25">
      <c r="A10">
        <v>4</v>
      </c>
      <c r="B10">
        <v>1200</v>
      </c>
      <c r="C10" t="s">
        <v>1709</v>
      </c>
      <c r="G10">
        <v>4</v>
      </c>
      <c r="H10">
        <v>1174</v>
      </c>
      <c r="I10" t="s">
        <v>1709</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1710</v>
      </c>
      <c r="C1" s="69" t="s">
        <v>1711</v>
      </c>
      <c r="D1" s="69"/>
      <c r="E1" s="69"/>
      <c r="G1" s="69" t="s">
        <v>1712</v>
      </c>
      <c r="H1" s="69"/>
      <c r="I1" s="69"/>
      <c r="J1" s="69"/>
    </row>
    <row r="2" spans="1:10" x14ac:dyDescent="0.25">
      <c r="A2" t="s">
        <v>1713</v>
      </c>
      <c r="C2" s="44" t="s">
        <v>1714</v>
      </c>
      <c r="D2" s="45"/>
      <c r="E2" s="46"/>
      <c r="G2" s="44" t="s">
        <v>487</v>
      </c>
      <c r="H2" s="44" t="s">
        <v>1715</v>
      </c>
      <c r="I2" s="44" t="s">
        <v>482</v>
      </c>
      <c r="J2" s="44" t="s">
        <v>1716</v>
      </c>
    </row>
    <row r="3" spans="1:10" x14ac:dyDescent="0.25">
      <c r="A3" t="s">
        <v>1717</v>
      </c>
      <c r="C3" t="s">
        <v>1718</v>
      </c>
      <c r="E3" s="47"/>
      <c r="G3" t="s">
        <v>1719</v>
      </c>
      <c r="H3" t="s">
        <v>17</v>
      </c>
      <c r="I3" t="s">
        <v>1720</v>
      </c>
      <c r="J3" t="s">
        <v>1721</v>
      </c>
    </row>
    <row r="4" spans="1:10" x14ac:dyDescent="0.25">
      <c r="A4" t="s">
        <v>1722</v>
      </c>
      <c r="C4" t="s">
        <v>1723</v>
      </c>
      <c r="G4" t="s">
        <v>1724</v>
      </c>
      <c r="H4" t="s">
        <v>1725</v>
      </c>
      <c r="I4" t="s">
        <v>1726</v>
      </c>
      <c r="J4" t="s">
        <v>1727</v>
      </c>
    </row>
    <row r="5" spans="1:10" x14ac:dyDescent="0.25">
      <c r="A5" t="s">
        <v>1728</v>
      </c>
      <c r="C5" t="s">
        <v>1729</v>
      </c>
    </row>
    <row r="6" spans="1:10" x14ac:dyDescent="0.25">
      <c r="A6" t="s">
        <v>1730</v>
      </c>
      <c r="C6" t="s">
        <v>1731</v>
      </c>
    </row>
    <row r="7" spans="1:10" x14ac:dyDescent="0.25">
      <c r="A7" t="s">
        <v>1732</v>
      </c>
      <c r="C7" t="s">
        <v>1733</v>
      </c>
    </row>
    <row r="8" spans="1:10" x14ac:dyDescent="0.25">
      <c r="A8" t="s">
        <v>1734</v>
      </c>
      <c r="C8" t="s">
        <v>1735</v>
      </c>
    </row>
    <row r="9" spans="1:10" x14ac:dyDescent="0.25">
      <c r="A9" t="s">
        <v>1736</v>
      </c>
      <c r="C9" t="s">
        <v>1737</v>
      </c>
    </row>
    <row r="10" spans="1:10" x14ac:dyDescent="0.25">
      <c r="A10" t="s">
        <v>1738</v>
      </c>
      <c r="C10" t="s">
        <v>1739</v>
      </c>
    </row>
    <row r="11" spans="1:10" x14ac:dyDescent="0.25">
      <c r="A11" t="s">
        <v>1740</v>
      </c>
      <c r="C11" t="s">
        <v>1741</v>
      </c>
    </row>
    <row r="12" spans="1:10" x14ac:dyDescent="0.25">
      <c r="A12" t="s">
        <v>1742</v>
      </c>
      <c r="C12" t="s">
        <v>1743</v>
      </c>
    </row>
    <row r="13" spans="1:10" x14ac:dyDescent="0.25">
      <c r="A13" t="s">
        <v>1744</v>
      </c>
      <c r="C13" t="s">
        <v>1745</v>
      </c>
    </row>
    <row r="14" spans="1:10" x14ac:dyDescent="0.25">
      <c r="A14" t="s">
        <v>1746</v>
      </c>
      <c r="C14" t="s">
        <v>1747</v>
      </c>
    </row>
    <row r="15" spans="1:10" x14ac:dyDescent="0.25">
      <c r="A15" t="s">
        <v>1748</v>
      </c>
      <c r="C15" t="s">
        <v>1749</v>
      </c>
    </row>
    <row r="16" spans="1:10" x14ac:dyDescent="0.25">
      <c r="A16" t="s">
        <v>1750</v>
      </c>
      <c r="C16" t="s">
        <v>1751</v>
      </c>
    </row>
    <row r="17" spans="1:3" x14ac:dyDescent="0.25">
      <c r="A17" t="s">
        <v>1752</v>
      </c>
      <c r="C17" t="s">
        <v>1753</v>
      </c>
    </row>
    <row r="18" spans="1:3" x14ac:dyDescent="0.25">
      <c r="A18" t="s">
        <v>1754</v>
      </c>
      <c r="C18" t="s">
        <v>1755</v>
      </c>
    </row>
    <row r="19" spans="1:3" x14ac:dyDescent="0.25">
      <c r="A19" t="s">
        <v>1756</v>
      </c>
    </row>
    <row r="20" spans="1:3" x14ac:dyDescent="0.25">
      <c r="A20" t="s">
        <v>1757</v>
      </c>
    </row>
    <row r="21" spans="1:3" x14ac:dyDescent="0.25">
      <c r="A21" t="s">
        <v>1758</v>
      </c>
    </row>
    <row r="22" spans="1:3" x14ac:dyDescent="0.25">
      <c r="A22" t="s">
        <v>1759</v>
      </c>
    </row>
    <row r="23" spans="1:3" x14ac:dyDescent="0.25">
      <c r="A23" t="s">
        <v>1760</v>
      </c>
    </row>
    <row r="24" spans="1:3" x14ac:dyDescent="0.25">
      <c r="A24" t="s">
        <v>1761</v>
      </c>
    </row>
    <row r="25" spans="1:3" x14ac:dyDescent="0.25">
      <c r="A25" t="s">
        <v>1762</v>
      </c>
    </row>
    <row r="26" spans="1:3" x14ac:dyDescent="0.25">
      <c r="A26" t="s">
        <v>1763</v>
      </c>
    </row>
    <row r="27" spans="1:3" x14ac:dyDescent="0.25">
      <c r="A27" t="s">
        <v>1764</v>
      </c>
    </row>
    <row r="28" spans="1:3" x14ac:dyDescent="0.25">
      <c r="A28" t="s">
        <v>1765</v>
      </c>
    </row>
    <row r="30" spans="1:3" x14ac:dyDescent="0.25">
      <c r="A30" t="s">
        <v>1766</v>
      </c>
    </row>
    <row r="31" spans="1:3" x14ac:dyDescent="0.25">
      <c r="A31" t="s">
        <v>1767</v>
      </c>
    </row>
    <row r="32" spans="1:3" x14ac:dyDescent="0.25">
      <c r="A32" t="s">
        <v>1768</v>
      </c>
    </row>
    <row r="33" spans="1:1" x14ac:dyDescent="0.25">
      <c r="A33" t="s">
        <v>1769</v>
      </c>
    </row>
    <row r="34" spans="1:1" x14ac:dyDescent="0.25">
      <c r="A34" t="s">
        <v>1770</v>
      </c>
    </row>
    <row r="35" spans="1:1" x14ac:dyDescent="0.25">
      <c r="A35" t="s">
        <v>1771</v>
      </c>
    </row>
    <row r="36" spans="1:1" x14ac:dyDescent="0.25">
      <c r="A36" t="s">
        <v>1772</v>
      </c>
    </row>
    <row r="37" spans="1:1" x14ac:dyDescent="0.25">
      <c r="A37" t="s">
        <v>1773</v>
      </c>
    </row>
    <row r="38" spans="1:1" x14ac:dyDescent="0.25">
      <c r="A38" t="s">
        <v>1774</v>
      </c>
    </row>
    <row r="39" spans="1:1" x14ac:dyDescent="0.25">
      <c r="A39" t="s">
        <v>1775</v>
      </c>
    </row>
    <row r="40" spans="1:1" x14ac:dyDescent="0.25">
      <c r="A40" t="s">
        <v>1776</v>
      </c>
    </row>
    <row r="41" spans="1:1" x14ac:dyDescent="0.25">
      <c r="A41" t="s">
        <v>1777</v>
      </c>
    </row>
    <row r="42" spans="1:1" x14ac:dyDescent="0.25">
      <c r="A42" t="s">
        <v>1778</v>
      </c>
    </row>
    <row r="43" spans="1:1" x14ac:dyDescent="0.25">
      <c r="A43" t="s">
        <v>1779</v>
      </c>
    </row>
    <row r="44" spans="1:1" x14ac:dyDescent="0.25">
      <c r="A44" t="s">
        <v>1780</v>
      </c>
    </row>
    <row r="46" spans="1:1" x14ac:dyDescent="0.25">
      <c r="A46" t="s">
        <v>1781</v>
      </c>
    </row>
    <row r="47" spans="1:1" x14ac:dyDescent="0.25">
      <c r="A47" t="s">
        <v>1782</v>
      </c>
    </row>
    <row r="48" spans="1:1" x14ac:dyDescent="0.25">
      <c r="A48" t="s">
        <v>1783</v>
      </c>
    </row>
    <row r="49" spans="1:1" x14ac:dyDescent="0.25">
      <c r="A49" t="s">
        <v>1784</v>
      </c>
    </row>
    <row r="50" spans="1:1" x14ac:dyDescent="0.25">
      <c r="A50" t="s">
        <v>1785</v>
      </c>
    </row>
    <row r="51" spans="1:1" x14ac:dyDescent="0.25">
      <c r="A51" t="s">
        <v>1786</v>
      </c>
    </row>
    <row r="52" spans="1:1" x14ac:dyDescent="0.25">
      <c r="A52" t="s">
        <v>1787</v>
      </c>
    </row>
    <row r="53" spans="1:1" x14ac:dyDescent="0.25">
      <c r="A53" t="s">
        <v>1788</v>
      </c>
    </row>
    <row r="54" spans="1:1" x14ac:dyDescent="0.25">
      <c r="A54" t="s">
        <v>1789</v>
      </c>
    </row>
    <row r="55" spans="1:1" x14ac:dyDescent="0.25">
      <c r="A55" t="s">
        <v>1790</v>
      </c>
    </row>
    <row r="56" spans="1:1" x14ac:dyDescent="0.25">
      <c r="A56" t="s">
        <v>1791</v>
      </c>
    </row>
    <row r="57" spans="1:1" x14ac:dyDescent="0.25">
      <c r="A57" t="s">
        <v>1792</v>
      </c>
    </row>
    <row r="58" spans="1:1" x14ac:dyDescent="0.25">
      <c r="A58" t="s">
        <v>1793</v>
      </c>
    </row>
    <row r="59" spans="1:1" x14ac:dyDescent="0.25">
      <c r="A59" t="s">
        <v>1794</v>
      </c>
    </row>
    <row r="60" spans="1:1" x14ac:dyDescent="0.25">
      <c r="A60" t="s">
        <v>1795</v>
      </c>
    </row>
    <row r="61" spans="1:1" x14ac:dyDescent="0.25">
      <c r="A61" t="s">
        <v>1796</v>
      </c>
    </row>
    <row r="62" spans="1:1" x14ac:dyDescent="0.25">
      <c r="A62" t="s">
        <v>1797</v>
      </c>
    </row>
    <row r="63" spans="1:1" x14ac:dyDescent="0.25">
      <c r="A63" t="s">
        <v>1798</v>
      </c>
    </row>
    <row r="64" spans="1:1" x14ac:dyDescent="0.25">
      <c r="A64" t="s">
        <v>1799</v>
      </c>
    </row>
    <row r="65" spans="1:1" x14ac:dyDescent="0.25">
      <c r="A65" t="s">
        <v>1800</v>
      </c>
    </row>
    <row r="66" spans="1:1" x14ac:dyDescent="0.25">
      <c r="A66" t="s">
        <v>1801</v>
      </c>
    </row>
    <row r="67" spans="1:1" x14ac:dyDescent="0.25">
      <c r="A67" t="s">
        <v>1802</v>
      </c>
    </row>
    <row r="68" spans="1:1" x14ac:dyDescent="0.25">
      <c r="A68" t="s">
        <v>1803</v>
      </c>
    </row>
    <row r="69" spans="1:1" x14ac:dyDescent="0.25">
      <c r="A69" t="s">
        <v>1804</v>
      </c>
    </row>
    <row r="70" spans="1:1" x14ac:dyDescent="0.25">
      <c r="A70" t="s">
        <v>1805</v>
      </c>
    </row>
    <row r="71" spans="1:1" x14ac:dyDescent="0.25">
      <c r="A71" t="s">
        <v>1806</v>
      </c>
    </row>
    <row r="72" spans="1:1" x14ac:dyDescent="0.25">
      <c r="A72" t="s">
        <v>1807</v>
      </c>
    </row>
    <row r="73" spans="1:1" x14ac:dyDescent="0.25">
      <c r="A73" t="s">
        <v>1808</v>
      </c>
    </row>
    <row r="74" spans="1:1" x14ac:dyDescent="0.25">
      <c r="A74" t="s">
        <v>1809</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1810</v>
      </c>
    </row>
    <row r="2" spans="1:1" x14ac:dyDescent="0.25">
      <c r="A2" t="s">
        <v>1811</v>
      </c>
    </row>
    <row r="3" spans="1:1" x14ac:dyDescent="0.25">
      <c r="A3" t="s">
        <v>1812</v>
      </c>
    </row>
    <row r="4" spans="1:1" x14ac:dyDescent="0.25">
      <c r="A4" t="s">
        <v>1813</v>
      </c>
    </row>
    <row r="5" spans="1:1" x14ac:dyDescent="0.25">
      <c r="A5" t="s">
        <v>1814</v>
      </c>
    </row>
    <row r="6" spans="1:1" x14ac:dyDescent="0.25">
      <c r="A6" t="s">
        <v>1815</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1816</v>
      </c>
    </row>
    <row r="2" spans="1:9" x14ac:dyDescent="0.25">
      <c r="A2" t="s">
        <v>1817</v>
      </c>
    </row>
    <row r="4" spans="1:9" x14ac:dyDescent="0.25">
      <c r="A4" s="48" t="s">
        <v>1818</v>
      </c>
      <c r="B4" s="49" t="s">
        <v>1819</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1820</v>
      </c>
    </row>
    <row r="15" spans="1:9" x14ac:dyDescent="0.25">
      <c r="A15" s="22" t="s">
        <v>1821</v>
      </c>
      <c r="B15" s="35" t="s">
        <v>1822</v>
      </c>
      <c r="C15" s="35" t="s">
        <v>1823</v>
      </c>
      <c r="D15" s="35" t="s">
        <v>1824</v>
      </c>
      <c r="E15" s="35" t="s">
        <v>1825</v>
      </c>
      <c r="F15" s="35" t="s">
        <v>1826</v>
      </c>
      <c r="G15" s="35" t="s">
        <v>1827</v>
      </c>
      <c r="H15" s="35" t="s">
        <v>1828</v>
      </c>
      <c r="I15" s="21" t="s">
        <v>1829</v>
      </c>
    </row>
    <row r="16" spans="1:9" x14ac:dyDescent="0.25">
      <c r="A16" s="52" t="s">
        <v>1822</v>
      </c>
      <c r="B16" s="36">
        <v>0</v>
      </c>
      <c r="C16" s="36">
        <v>100</v>
      </c>
      <c r="D16" s="36">
        <v>100</v>
      </c>
      <c r="E16" s="36">
        <v>100</v>
      </c>
      <c r="F16" s="36">
        <v>100</v>
      </c>
      <c r="G16" s="36">
        <v>100</v>
      </c>
      <c r="H16" s="36">
        <v>100</v>
      </c>
      <c r="I16" s="26">
        <v>100</v>
      </c>
    </row>
    <row r="17" spans="1:9" x14ac:dyDescent="0.25">
      <c r="A17" s="52" t="s">
        <v>1823</v>
      </c>
      <c r="B17" s="36">
        <v>125</v>
      </c>
      <c r="C17" s="36">
        <v>0</v>
      </c>
      <c r="D17" s="36">
        <v>150</v>
      </c>
      <c r="E17" s="36">
        <v>150</v>
      </c>
      <c r="F17" s="36">
        <v>100</v>
      </c>
      <c r="G17" s="36">
        <v>100</v>
      </c>
      <c r="H17" s="36">
        <v>100</v>
      </c>
      <c r="I17" s="26">
        <v>100</v>
      </c>
    </row>
    <row r="18" spans="1:9" x14ac:dyDescent="0.25">
      <c r="A18" s="52" t="s">
        <v>1824</v>
      </c>
      <c r="B18" s="36">
        <v>100</v>
      </c>
      <c r="C18" s="36">
        <v>100</v>
      </c>
      <c r="D18" s="36">
        <v>0</v>
      </c>
      <c r="E18" s="36">
        <v>100</v>
      </c>
      <c r="F18" s="36">
        <v>100</v>
      </c>
      <c r="G18" s="36">
        <v>100</v>
      </c>
      <c r="H18" s="36">
        <v>100</v>
      </c>
      <c r="I18" s="26">
        <v>100</v>
      </c>
    </row>
    <row r="19" spans="1:9" x14ac:dyDescent="0.25">
      <c r="A19" s="52" t="s">
        <v>1825</v>
      </c>
      <c r="B19" s="36">
        <v>100</v>
      </c>
      <c r="C19" s="36">
        <v>100</v>
      </c>
      <c r="D19" s="36">
        <v>100</v>
      </c>
      <c r="E19" s="36">
        <v>0</v>
      </c>
      <c r="F19" s="36">
        <v>100</v>
      </c>
      <c r="G19" s="36">
        <v>100</v>
      </c>
      <c r="H19" s="36">
        <v>100</v>
      </c>
      <c r="I19" s="26">
        <v>100</v>
      </c>
    </row>
    <row r="20" spans="1:9" x14ac:dyDescent="0.25">
      <c r="A20" s="52" t="s">
        <v>1826</v>
      </c>
      <c r="B20" s="36">
        <v>75</v>
      </c>
      <c r="C20" s="36">
        <v>100</v>
      </c>
      <c r="D20" s="36">
        <v>100</v>
      </c>
      <c r="E20" s="36">
        <v>75</v>
      </c>
      <c r="F20" s="36">
        <v>0</v>
      </c>
      <c r="G20" s="36">
        <v>50</v>
      </c>
      <c r="H20" s="36">
        <v>100</v>
      </c>
      <c r="I20" s="26">
        <v>150</v>
      </c>
    </row>
    <row r="21" spans="1:9" x14ac:dyDescent="0.25">
      <c r="A21" s="52" t="s">
        <v>1827</v>
      </c>
      <c r="B21" s="36">
        <v>75</v>
      </c>
      <c r="C21" s="36">
        <v>100</v>
      </c>
      <c r="D21" s="36">
        <v>100</v>
      </c>
      <c r="E21" s="36">
        <v>75</v>
      </c>
      <c r="F21" s="36">
        <v>150</v>
      </c>
      <c r="G21" s="36">
        <v>0</v>
      </c>
      <c r="H21" s="36">
        <v>50</v>
      </c>
      <c r="I21" s="26">
        <v>100</v>
      </c>
    </row>
    <row r="22" spans="1:9" x14ac:dyDescent="0.25">
      <c r="A22" s="52" t="s">
        <v>1828</v>
      </c>
      <c r="B22" s="36">
        <v>75</v>
      </c>
      <c r="C22" s="36">
        <v>75</v>
      </c>
      <c r="D22" s="36">
        <v>100</v>
      </c>
      <c r="E22" s="36">
        <v>125</v>
      </c>
      <c r="F22" s="36">
        <v>100</v>
      </c>
      <c r="G22" s="36">
        <v>150</v>
      </c>
      <c r="H22" s="36">
        <v>0</v>
      </c>
      <c r="I22" s="26">
        <v>50</v>
      </c>
    </row>
    <row r="23" spans="1:9" x14ac:dyDescent="0.25">
      <c r="A23" s="53" t="s">
        <v>1829</v>
      </c>
      <c r="B23" s="38">
        <v>75</v>
      </c>
      <c r="C23" s="38">
        <v>100</v>
      </c>
      <c r="D23" s="38">
        <v>100</v>
      </c>
      <c r="E23" s="38">
        <v>75</v>
      </c>
      <c r="F23" s="38">
        <v>50</v>
      </c>
      <c r="G23" s="38">
        <v>100</v>
      </c>
      <c r="H23" s="38">
        <v>150</v>
      </c>
      <c r="I23" s="32">
        <v>0</v>
      </c>
    </row>
    <row r="25" spans="1:9" x14ac:dyDescent="0.25">
      <c r="A25" t="s">
        <v>1830</v>
      </c>
    </row>
    <row r="27" spans="1:9" x14ac:dyDescent="0.25">
      <c r="A27" t="s">
        <v>1831</v>
      </c>
    </row>
    <row r="28" spans="1:9" x14ac:dyDescent="0.25">
      <c r="A28" t="s">
        <v>1832</v>
      </c>
    </row>
    <row r="30" spans="1:9" x14ac:dyDescent="0.25">
      <c r="A30" t="s">
        <v>1833</v>
      </c>
    </row>
    <row r="32" spans="1:9" x14ac:dyDescent="0.25">
      <c r="A32" s="54" t="s">
        <v>487</v>
      </c>
      <c r="B32" s="54" t="s">
        <v>1834</v>
      </c>
      <c r="C32" s="76" t="s">
        <v>1835</v>
      </c>
      <c r="D32" s="76"/>
      <c r="E32" s="76"/>
      <c r="F32" s="76"/>
      <c r="G32" s="76"/>
      <c r="H32" s="76"/>
    </row>
    <row r="33" spans="1:8" x14ac:dyDescent="0.25">
      <c r="A33" s="36" t="s">
        <v>1836</v>
      </c>
      <c r="B33" s="28" t="s">
        <v>1837</v>
      </c>
      <c r="C33" s="77" t="s">
        <v>1838</v>
      </c>
      <c r="D33" s="77"/>
      <c r="E33" s="77"/>
      <c r="F33" s="77"/>
      <c r="G33" s="77"/>
      <c r="H33" s="77"/>
    </row>
    <row r="34" spans="1:8" x14ac:dyDescent="0.25">
      <c r="A34" s="36" t="s">
        <v>1839</v>
      </c>
      <c r="B34" s="28" t="s">
        <v>1837</v>
      </c>
      <c r="C34" s="77" t="s">
        <v>1838</v>
      </c>
      <c r="D34" s="77"/>
      <c r="E34" s="77"/>
      <c r="F34" s="77"/>
      <c r="G34" s="77"/>
      <c r="H34" s="77"/>
    </row>
    <row r="35" spans="1:8" x14ac:dyDescent="0.25">
      <c r="A35" s="36" t="s">
        <v>1840</v>
      </c>
      <c r="B35" s="28" t="s">
        <v>1837</v>
      </c>
      <c r="C35" s="77" t="s">
        <v>1838</v>
      </c>
      <c r="D35" s="77"/>
      <c r="E35" s="77"/>
      <c r="F35" s="77"/>
      <c r="G35" s="77"/>
      <c r="H35" s="77"/>
    </row>
    <row r="36" spans="1:8" x14ac:dyDescent="0.25">
      <c r="A36" s="36" t="s">
        <v>1841</v>
      </c>
      <c r="B36" s="28" t="s">
        <v>1823</v>
      </c>
      <c r="C36" s="78" t="s">
        <v>1842</v>
      </c>
      <c r="D36" s="78"/>
      <c r="E36" s="78"/>
      <c r="F36" s="78"/>
      <c r="G36" s="78"/>
      <c r="H36" s="78"/>
    </row>
    <row r="37" spans="1:8" x14ac:dyDescent="0.25">
      <c r="A37" s="36" t="s">
        <v>1843</v>
      </c>
      <c r="B37" s="28" t="s">
        <v>1825</v>
      </c>
      <c r="C37" s="77" t="s">
        <v>1844</v>
      </c>
      <c r="D37" s="77"/>
      <c r="E37" s="77"/>
      <c r="F37" s="77"/>
      <c r="G37" s="77"/>
      <c r="H37" s="77"/>
    </row>
    <row r="38" spans="1:8" x14ac:dyDescent="0.25">
      <c r="A38" s="36" t="s">
        <v>1845</v>
      </c>
      <c r="B38" s="28" t="s">
        <v>1823</v>
      </c>
      <c r="C38" s="77" t="s">
        <v>1844</v>
      </c>
      <c r="D38" s="77"/>
      <c r="E38" s="77"/>
      <c r="F38" s="77"/>
      <c r="G38" s="77"/>
      <c r="H38" s="77"/>
    </row>
    <row r="39" spans="1:8" x14ac:dyDescent="0.25">
      <c r="A39" s="36" t="s">
        <v>1846</v>
      </c>
      <c r="B39" s="28" t="s">
        <v>1823</v>
      </c>
      <c r="C39" s="78" t="s">
        <v>1842</v>
      </c>
      <c r="D39" s="78"/>
      <c r="E39" s="78"/>
      <c r="F39" s="78"/>
      <c r="G39" s="78"/>
      <c r="H39" s="78"/>
    </row>
    <row r="40" spans="1:8" x14ac:dyDescent="0.25">
      <c r="A40" s="36" t="s">
        <v>544</v>
      </c>
      <c r="B40" s="28" t="s">
        <v>1823</v>
      </c>
      <c r="C40" s="78" t="s">
        <v>1842</v>
      </c>
      <c r="D40" s="78"/>
      <c r="E40" s="78"/>
      <c r="F40" s="78"/>
      <c r="G40" s="78"/>
      <c r="H40" s="78"/>
    </row>
    <row r="41" spans="1:8" x14ac:dyDescent="0.25">
      <c r="A41" s="36" t="s">
        <v>1847</v>
      </c>
      <c r="B41" s="28" t="s">
        <v>1826</v>
      </c>
      <c r="C41" s="78" t="s">
        <v>1848</v>
      </c>
      <c r="D41" s="78"/>
      <c r="E41" s="78"/>
      <c r="F41" s="78"/>
      <c r="G41" s="78"/>
      <c r="H41" s="78"/>
    </row>
    <row r="42" spans="1:8" x14ac:dyDescent="0.25">
      <c r="A42" s="36" t="s">
        <v>1849</v>
      </c>
      <c r="B42" s="28" t="s">
        <v>1827</v>
      </c>
      <c r="C42" s="78" t="s">
        <v>1850</v>
      </c>
      <c r="D42" s="78"/>
      <c r="E42" s="78"/>
      <c r="F42" s="78"/>
      <c r="G42" s="78"/>
      <c r="H42" s="78"/>
    </row>
    <row r="43" spans="1:8" x14ac:dyDescent="0.25">
      <c r="A43" s="36" t="s">
        <v>1851</v>
      </c>
      <c r="B43" s="28" t="s">
        <v>1828</v>
      </c>
      <c r="C43" s="78" t="s">
        <v>1852</v>
      </c>
      <c r="D43" s="78"/>
      <c r="E43" s="78"/>
      <c r="F43" s="78"/>
      <c r="G43" s="78"/>
      <c r="H43" s="78"/>
    </row>
    <row r="44" spans="1:8" x14ac:dyDescent="0.25">
      <c r="A44" s="36" t="s">
        <v>1853</v>
      </c>
      <c r="B44" s="28" t="s">
        <v>1829</v>
      </c>
      <c r="C44" s="78" t="s">
        <v>1854</v>
      </c>
      <c r="D44" s="78"/>
      <c r="E44" s="78"/>
      <c r="F44" s="78"/>
      <c r="G44" s="78"/>
      <c r="H44" s="78"/>
    </row>
    <row r="48" spans="1:8" x14ac:dyDescent="0.25">
      <c r="A48" s="79" t="s">
        <v>1843</v>
      </c>
      <c r="B48" s="79"/>
      <c r="C48" s="79"/>
      <c r="D48" s="79"/>
      <c r="E48" s="79"/>
      <c r="F48" s="79"/>
      <c r="G48" s="79"/>
      <c r="H48" s="79"/>
    </row>
    <row r="49" spans="1:8" x14ac:dyDescent="0.25">
      <c r="A49" t="s">
        <v>1855</v>
      </c>
    </row>
    <row r="50" spans="1:8" x14ac:dyDescent="0.25">
      <c r="A50" t="s">
        <v>1856</v>
      </c>
    </row>
    <row r="52" spans="1:8" x14ac:dyDescent="0.25">
      <c r="A52" s="79" t="s">
        <v>1845</v>
      </c>
      <c r="B52" s="79"/>
      <c r="C52" s="79"/>
      <c r="D52" s="79"/>
      <c r="E52" s="79"/>
      <c r="F52" s="79"/>
      <c r="G52" s="79"/>
      <c r="H52" s="79"/>
    </row>
    <row r="53" spans="1:8" x14ac:dyDescent="0.25">
      <c r="A53" t="s">
        <v>1857</v>
      </c>
    </row>
    <row r="57" spans="1:8" x14ac:dyDescent="0.25">
      <c r="A57" s="79" t="s">
        <v>1858</v>
      </c>
      <c r="B57" s="79"/>
      <c r="C57" s="79"/>
      <c r="D57" s="79"/>
      <c r="E57" s="79"/>
      <c r="F57" s="79"/>
      <c r="G57" s="79"/>
      <c r="H57" s="79"/>
    </row>
    <row r="58" spans="1:8" x14ac:dyDescent="0.25">
      <c r="A58" t="s">
        <v>1859</v>
      </c>
    </row>
    <row r="59" spans="1:8" x14ac:dyDescent="0.25">
      <c r="A59" t="s">
        <v>1860</v>
      </c>
    </row>
    <row r="60" spans="1:8" x14ac:dyDescent="0.25">
      <c r="A60" t="s">
        <v>1861</v>
      </c>
    </row>
    <row r="61" spans="1:8" x14ac:dyDescent="0.25">
      <c r="A61" t="s">
        <v>1862</v>
      </c>
    </row>
    <row r="62" spans="1:8" x14ac:dyDescent="0.25">
      <c r="A62" t="s">
        <v>1863</v>
      </c>
    </row>
    <row r="63" spans="1:8" x14ac:dyDescent="0.25">
      <c r="A63" t="s">
        <v>1864</v>
      </c>
    </row>
    <row r="65" spans="1:11" x14ac:dyDescent="0.25">
      <c r="A65" t="s">
        <v>1865</v>
      </c>
    </row>
    <row r="66" spans="1:11" x14ac:dyDescent="0.25">
      <c r="A66" t="s">
        <v>1866</v>
      </c>
    </row>
    <row r="67" spans="1:11" x14ac:dyDescent="0.25">
      <c r="A67" s="55" t="s">
        <v>1867</v>
      </c>
    </row>
    <row r="68" spans="1:11" x14ac:dyDescent="0.25">
      <c r="A68" s="55" t="s">
        <v>1868</v>
      </c>
    </row>
    <row r="69" spans="1:11" x14ac:dyDescent="0.25">
      <c r="A69" s="55" t="s">
        <v>1869</v>
      </c>
    </row>
    <row r="71" spans="1:11" x14ac:dyDescent="0.25">
      <c r="A71" t="s">
        <v>1870</v>
      </c>
    </row>
    <row r="72" spans="1:11" x14ac:dyDescent="0.25">
      <c r="A72" t="s">
        <v>1871</v>
      </c>
    </row>
    <row r="73" spans="1:11" x14ac:dyDescent="0.25">
      <c r="H73" s="79" t="s">
        <v>1872</v>
      </c>
      <c r="I73" s="79"/>
      <c r="J73" s="79"/>
      <c r="K73" s="79"/>
    </row>
    <row r="74" spans="1:11" x14ac:dyDescent="0.25">
      <c r="A74" s="55" t="s">
        <v>1873</v>
      </c>
      <c r="H74" t="s">
        <v>1874</v>
      </c>
    </row>
    <row r="75" spans="1:11" x14ac:dyDescent="0.25">
      <c r="A75" s="55" t="s">
        <v>1867</v>
      </c>
      <c r="H75" t="s">
        <v>1875</v>
      </c>
    </row>
    <row r="76" spans="1:11" x14ac:dyDescent="0.25">
      <c r="A76" s="55" t="s">
        <v>1868</v>
      </c>
      <c r="H76" t="s">
        <v>1876</v>
      </c>
    </row>
    <row r="77" spans="1:11" x14ac:dyDescent="0.25">
      <c r="A77" s="55" t="s">
        <v>1869</v>
      </c>
      <c r="C77" t="s">
        <v>1877</v>
      </c>
      <c r="H77" t="s">
        <v>1878</v>
      </c>
    </row>
    <row r="78" spans="1:11" x14ac:dyDescent="0.25">
      <c r="A78" s="55" t="s">
        <v>1879</v>
      </c>
      <c r="H78" t="s">
        <v>1880</v>
      </c>
    </row>
    <row r="79" spans="1:11" x14ac:dyDescent="0.25">
      <c r="A79" s="55" t="s">
        <v>1881</v>
      </c>
      <c r="H79" t="s">
        <v>1882</v>
      </c>
    </row>
    <row r="80" spans="1:11" x14ac:dyDescent="0.25">
      <c r="A80" s="55" t="s">
        <v>1883</v>
      </c>
      <c r="H80" t="s">
        <v>1884</v>
      </c>
    </row>
    <row r="81" spans="1:8" x14ac:dyDescent="0.25">
      <c r="A81" s="55" t="s">
        <v>1885</v>
      </c>
      <c r="C81" t="s">
        <v>1886</v>
      </c>
      <c r="H81" t="s">
        <v>1887</v>
      </c>
    </row>
    <row r="82" spans="1:8" x14ac:dyDescent="0.25">
      <c r="A82" s="55" t="s">
        <v>1881</v>
      </c>
      <c r="H82" t="s">
        <v>1882</v>
      </c>
    </row>
    <row r="83" spans="1:8" x14ac:dyDescent="0.25">
      <c r="A83" s="55" t="s">
        <v>1888</v>
      </c>
      <c r="H83" t="s">
        <v>1884</v>
      </c>
    </row>
    <row r="84" spans="1:8" x14ac:dyDescent="0.25">
      <c r="A84" s="55" t="s">
        <v>1889</v>
      </c>
      <c r="H84" t="s">
        <v>1890</v>
      </c>
    </row>
    <row r="85" spans="1:8" x14ac:dyDescent="0.25">
      <c r="A85" s="55" t="s">
        <v>1891</v>
      </c>
      <c r="H85" t="s">
        <v>1892</v>
      </c>
    </row>
    <row r="86" spans="1:8" x14ac:dyDescent="0.25">
      <c r="A86" s="55" t="s">
        <v>1893</v>
      </c>
      <c r="H86" t="s">
        <v>1894</v>
      </c>
    </row>
    <row r="87" spans="1:8" x14ac:dyDescent="0.25">
      <c r="A87" s="55" t="s">
        <v>1895</v>
      </c>
      <c r="C87" t="s">
        <v>1896</v>
      </c>
      <c r="H87" t="s">
        <v>1897</v>
      </c>
    </row>
    <row r="88" spans="1:8" x14ac:dyDescent="0.25">
      <c r="A88" s="55" t="s">
        <v>1898</v>
      </c>
      <c r="H88" t="s">
        <v>1899</v>
      </c>
    </row>
    <row r="89" spans="1:8" x14ac:dyDescent="0.25">
      <c r="A89" s="55" t="s">
        <v>1900</v>
      </c>
      <c r="H89" t="s">
        <v>1901</v>
      </c>
    </row>
    <row r="90" spans="1:8" x14ac:dyDescent="0.25">
      <c r="A90" s="55" t="s">
        <v>1902</v>
      </c>
      <c r="C90" t="s">
        <v>1903</v>
      </c>
      <c r="H90" t="s">
        <v>1904</v>
      </c>
    </row>
    <row r="91" spans="1:8" x14ac:dyDescent="0.25">
      <c r="A91" s="55" t="s">
        <v>1905</v>
      </c>
      <c r="H91" t="s">
        <v>1906</v>
      </c>
    </row>
    <row r="92" spans="1:8" x14ac:dyDescent="0.25">
      <c r="A92" s="55" t="s">
        <v>1907</v>
      </c>
      <c r="C92" t="s">
        <v>1908</v>
      </c>
      <c r="H92" t="s">
        <v>1909</v>
      </c>
    </row>
    <row r="93" spans="1:8" x14ac:dyDescent="0.25">
      <c r="A93" s="55" t="s">
        <v>1910</v>
      </c>
      <c r="C93" t="s">
        <v>1911</v>
      </c>
      <c r="H93" t="s">
        <v>1912</v>
      </c>
    </row>
    <row r="94" spans="1:8" x14ac:dyDescent="0.25">
      <c r="A94" s="55" t="s">
        <v>1913</v>
      </c>
      <c r="H94" t="s">
        <v>1914</v>
      </c>
    </row>
    <row r="95" spans="1:8" x14ac:dyDescent="0.25">
      <c r="A95" s="55" t="s">
        <v>1915</v>
      </c>
      <c r="H95" t="s">
        <v>1916</v>
      </c>
    </row>
    <row r="96" spans="1:8" x14ac:dyDescent="0.25">
      <c r="A96" s="55" t="s">
        <v>1917</v>
      </c>
      <c r="H96" t="s">
        <v>1918</v>
      </c>
    </row>
    <row r="97" spans="1:8" x14ac:dyDescent="0.25">
      <c r="A97" s="55" t="s">
        <v>1919</v>
      </c>
      <c r="H97" t="s">
        <v>1920</v>
      </c>
    </row>
    <row r="98" spans="1:8" x14ac:dyDescent="0.25">
      <c r="A98" s="55" t="s">
        <v>1921</v>
      </c>
      <c r="H98" t="s">
        <v>1922</v>
      </c>
    </row>
    <row r="99" spans="1:8" x14ac:dyDescent="0.25">
      <c r="A99" s="55" t="s">
        <v>1923</v>
      </c>
      <c r="C99" t="s">
        <v>1924</v>
      </c>
      <c r="H99" t="s">
        <v>1925</v>
      </c>
    </row>
    <row r="100" spans="1:8" x14ac:dyDescent="0.25">
      <c r="A100" s="55" t="s">
        <v>1926</v>
      </c>
      <c r="C100" t="s">
        <v>1927</v>
      </c>
      <c r="H100" t="s">
        <v>1928</v>
      </c>
    </row>
    <row r="101" spans="1:8" x14ac:dyDescent="0.25">
      <c r="A101" s="55" t="s">
        <v>1929</v>
      </c>
      <c r="C101" t="s">
        <v>1930</v>
      </c>
      <c r="H101" t="s">
        <v>1931</v>
      </c>
    </row>
    <row r="102" spans="1:8" x14ac:dyDescent="0.25">
      <c r="A102" s="55" t="s">
        <v>1932</v>
      </c>
      <c r="C102" t="s">
        <v>1933</v>
      </c>
      <c r="H102" t="s">
        <v>1884</v>
      </c>
    </row>
    <row r="103" spans="1:8" x14ac:dyDescent="0.25">
      <c r="A103" s="55" t="s">
        <v>1934</v>
      </c>
      <c r="H103" t="s">
        <v>1935</v>
      </c>
    </row>
    <row r="104" spans="1:8" x14ac:dyDescent="0.25">
      <c r="A104" s="55" t="s">
        <v>1936</v>
      </c>
      <c r="C104" t="s">
        <v>1937</v>
      </c>
      <c r="H104" t="s">
        <v>1938</v>
      </c>
    </row>
    <row r="105" spans="1:8" x14ac:dyDescent="0.25">
      <c r="A105" s="55" t="s">
        <v>1939</v>
      </c>
      <c r="C105" t="s">
        <v>1940</v>
      </c>
      <c r="H105" t="s">
        <v>1941</v>
      </c>
    </row>
    <row r="106" spans="1:8" x14ac:dyDescent="0.25">
      <c r="A106" s="55" t="s">
        <v>1942</v>
      </c>
      <c r="C106" t="s">
        <v>1943</v>
      </c>
      <c r="H106" t="s">
        <v>1944</v>
      </c>
    </row>
    <row r="107" spans="1:8" x14ac:dyDescent="0.25">
      <c r="A107" s="55" t="s">
        <v>1945</v>
      </c>
      <c r="C107" t="s">
        <v>1946</v>
      </c>
      <c r="H107" t="s">
        <v>1947</v>
      </c>
    </row>
    <row r="108" spans="1:8" x14ac:dyDescent="0.25">
      <c r="A108" s="55" t="s">
        <v>1948</v>
      </c>
      <c r="H108" t="s">
        <v>1935</v>
      </c>
    </row>
    <row r="109" spans="1:8" x14ac:dyDescent="0.25">
      <c r="A109" s="55" t="s">
        <v>1949</v>
      </c>
      <c r="C109" t="s">
        <v>1950</v>
      </c>
    </row>
    <row r="110" spans="1:8" x14ac:dyDescent="0.25">
      <c r="A110" s="55" t="s">
        <v>1951</v>
      </c>
    </row>
    <row r="111" spans="1:8" x14ac:dyDescent="0.25">
      <c r="A111" s="55" t="s">
        <v>1952</v>
      </c>
    </row>
    <row r="114" spans="1:3" x14ac:dyDescent="0.25">
      <c r="A114" s="55" t="s">
        <v>1953</v>
      </c>
    </row>
    <row r="115" spans="1:3" x14ac:dyDescent="0.25">
      <c r="A115" s="55" t="s">
        <v>1954</v>
      </c>
    </row>
    <row r="116" spans="1:3" x14ac:dyDescent="0.25">
      <c r="A116" s="55" t="s">
        <v>1955</v>
      </c>
    </row>
    <row r="117" spans="1:3" x14ac:dyDescent="0.25">
      <c r="A117" s="55" t="s">
        <v>1956</v>
      </c>
      <c r="C117" t="s">
        <v>1957</v>
      </c>
    </row>
    <row r="118" spans="1:3" x14ac:dyDescent="0.25">
      <c r="A118" s="55" t="s">
        <v>1958</v>
      </c>
      <c r="C118" t="s">
        <v>1959</v>
      </c>
    </row>
    <row r="119" spans="1:3" x14ac:dyDescent="0.25">
      <c r="A119" s="55" t="s">
        <v>1960</v>
      </c>
      <c r="C119" t="s">
        <v>1961</v>
      </c>
    </row>
    <row r="120" spans="1:3" x14ac:dyDescent="0.25">
      <c r="A120" s="55" t="s">
        <v>1962</v>
      </c>
    </row>
    <row r="121" spans="1:3" x14ac:dyDescent="0.25">
      <c r="A121" s="55" t="s">
        <v>1883</v>
      </c>
    </row>
    <row r="122" spans="1:3" x14ac:dyDescent="0.25">
      <c r="A122" s="55" t="s">
        <v>1885</v>
      </c>
      <c r="C122" t="s">
        <v>1963</v>
      </c>
    </row>
    <row r="123" spans="1:3" x14ac:dyDescent="0.25">
      <c r="A123" s="55" t="s">
        <v>1962</v>
      </c>
    </row>
    <row r="124" spans="1:3" x14ac:dyDescent="0.25">
      <c r="A124" s="55" t="s">
        <v>1888</v>
      </c>
      <c r="C124" t="s">
        <v>1964</v>
      </c>
    </row>
    <row r="125" spans="1:3" x14ac:dyDescent="0.25">
      <c r="A125" s="55" t="s">
        <v>1965</v>
      </c>
      <c r="C125" t="s">
        <v>1966</v>
      </c>
    </row>
    <row r="126" spans="1:3" x14ac:dyDescent="0.25">
      <c r="A126" s="55" t="s">
        <v>1956</v>
      </c>
      <c r="C126" t="s">
        <v>1957</v>
      </c>
    </row>
    <row r="127" spans="1:3" x14ac:dyDescent="0.25">
      <c r="A127" s="55" t="s">
        <v>1967</v>
      </c>
      <c r="C127" t="s">
        <v>1968</v>
      </c>
    </row>
    <row r="128" spans="1:3" x14ac:dyDescent="0.25">
      <c r="A128" s="55" t="s">
        <v>1969</v>
      </c>
      <c r="C128" t="s">
        <v>1970</v>
      </c>
    </row>
    <row r="129" spans="1:3" x14ac:dyDescent="0.25">
      <c r="A129" s="55" t="s">
        <v>1971</v>
      </c>
      <c r="C129" t="s">
        <v>1972</v>
      </c>
    </row>
    <row r="130" spans="1:3" x14ac:dyDescent="0.25">
      <c r="A130" s="55" t="s">
        <v>1973</v>
      </c>
      <c r="C130" t="s">
        <v>1974</v>
      </c>
    </row>
    <row r="131" spans="1:3" x14ac:dyDescent="0.25">
      <c r="A131" s="55" t="s">
        <v>1975</v>
      </c>
    </row>
    <row r="132" spans="1:3" x14ac:dyDescent="0.25">
      <c r="A132" s="55" t="s">
        <v>1976</v>
      </c>
      <c r="C132" t="s">
        <v>1977</v>
      </c>
    </row>
    <row r="133" spans="1:3" x14ac:dyDescent="0.25">
      <c r="A133" s="55" t="s">
        <v>1978</v>
      </c>
    </row>
    <row r="134" spans="1:3" x14ac:dyDescent="0.25">
      <c r="A134" s="55" t="s">
        <v>1952</v>
      </c>
    </row>
    <row r="135" spans="1:3" x14ac:dyDescent="0.25">
      <c r="A135" s="55"/>
    </row>
    <row r="136" spans="1:3" x14ac:dyDescent="0.25">
      <c r="A136" s="55"/>
    </row>
    <row r="137" spans="1:3" x14ac:dyDescent="0.25">
      <c r="A137" t="s">
        <v>1979</v>
      </c>
    </row>
    <row r="138" spans="1:3" x14ac:dyDescent="0.25">
      <c r="A138" s="55" t="s">
        <v>1980</v>
      </c>
      <c r="C138" t="s">
        <v>1981</v>
      </c>
    </row>
    <row r="139" spans="1:3" x14ac:dyDescent="0.25">
      <c r="A139" s="55" t="s">
        <v>1982</v>
      </c>
      <c r="C139" t="s">
        <v>1983</v>
      </c>
    </row>
    <row r="140" spans="1:3" x14ac:dyDescent="0.25">
      <c r="A140" s="55" t="s">
        <v>1984</v>
      </c>
    </row>
    <row r="141" spans="1:3" x14ac:dyDescent="0.25">
      <c r="A141" s="55" t="s">
        <v>1985</v>
      </c>
    </row>
    <row r="142" spans="1:3" x14ac:dyDescent="0.25">
      <c r="A142" s="55" t="s">
        <v>1986</v>
      </c>
    </row>
    <row r="143" spans="1:3" x14ac:dyDescent="0.25">
      <c r="A143" s="55" t="s">
        <v>1987</v>
      </c>
    </row>
    <row r="144" spans="1:3" x14ac:dyDescent="0.25">
      <c r="A144" s="55" t="s">
        <v>1988</v>
      </c>
    </row>
    <row r="145" spans="1:1" x14ac:dyDescent="0.25">
      <c r="A145" s="55" t="s">
        <v>1989</v>
      </c>
    </row>
    <row r="146" spans="1:1" x14ac:dyDescent="0.25">
      <c r="A146" s="55" t="s">
        <v>1990</v>
      </c>
    </row>
    <row r="147" spans="1:1" x14ac:dyDescent="0.25">
      <c r="A147" s="55" t="s">
        <v>1991</v>
      </c>
    </row>
    <row r="148" spans="1:1" x14ac:dyDescent="0.25">
      <c r="A148" s="55" t="s">
        <v>1992</v>
      </c>
    </row>
    <row r="149" spans="1:1" x14ac:dyDescent="0.25">
      <c r="A149" s="55" t="s">
        <v>1993</v>
      </c>
    </row>
    <row r="150" spans="1:1" x14ac:dyDescent="0.25">
      <c r="A150" s="55" t="s">
        <v>1952</v>
      </c>
    </row>
  </sheetData>
  <mergeCells count="17">
    <mergeCell ref="A57:H57"/>
    <mergeCell ref="H73:K73"/>
    <mergeCell ref="C42:H42"/>
    <mergeCell ref="C43:H43"/>
    <mergeCell ref="C44:H44"/>
    <mergeCell ref="A48:H48"/>
    <mergeCell ref="A52:H52"/>
    <mergeCell ref="C37:H37"/>
    <mergeCell ref="C38:H38"/>
    <mergeCell ref="C39:H39"/>
    <mergeCell ref="C40:H40"/>
    <mergeCell ref="C41:H41"/>
    <mergeCell ref="C32:H32"/>
    <mergeCell ref="C33:H33"/>
    <mergeCell ref="C34:H34"/>
    <mergeCell ref="C35:H35"/>
    <mergeCell ref="C36:H36"/>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9" t="s">
        <v>1994</v>
      </c>
      <c r="B1" s="79"/>
      <c r="C1" s="79"/>
      <c r="D1" s="79"/>
      <c r="E1" s="79"/>
    </row>
    <row r="2" spans="1:5" x14ac:dyDescent="0.25">
      <c r="A2" s="56" t="s">
        <v>839</v>
      </c>
      <c r="B2" s="56" t="s">
        <v>488</v>
      </c>
      <c r="C2" s="56" t="s">
        <v>487</v>
      </c>
      <c r="D2" s="56" t="s">
        <v>1995</v>
      </c>
      <c r="E2" s="56" t="s">
        <v>1695</v>
      </c>
    </row>
    <row r="3" spans="1:5" x14ac:dyDescent="0.25">
      <c r="A3" s="36">
        <v>464</v>
      </c>
      <c r="B3" s="56" t="s">
        <v>995</v>
      </c>
      <c r="C3" s="36" t="s">
        <v>1996</v>
      </c>
      <c r="D3" s="36">
        <v>7</v>
      </c>
      <c r="E3" s="36">
        <v>9</v>
      </c>
    </row>
    <row r="4" spans="1:5" x14ac:dyDescent="0.25">
      <c r="A4" s="36">
        <v>465</v>
      </c>
      <c r="B4" s="56" t="s">
        <v>1000</v>
      </c>
      <c r="C4" s="36" t="s">
        <v>1997</v>
      </c>
      <c r="D4" s="57" t="s">
        <v>1998</v>
      </c>
      <c r="E4" s="36">
        <v>6</v>
      </c>
    </row>
    <row r="5" spans="1:5" x14ac:dyDescent="0.25">
      <c r="A5" s="58">
        <v>466</v>
      </c>
      <c r="B5" s="59" t="s">
        <v>1000</v>
      </c>
      <c r="C5" s="58" t="s">
        <v>1999</v>
      </c>
      <c r="D5" s="57" t="s">
        <v>1998</v>
      </c>
      <c r="E5" s="58">
        <v>6</v>
      </c>
    </row>
    <row r="6" spans="1:5" x14ac:dyDescent="0.25">
      <c r="A6" s="58">
        <v>467</v>
      </c>
      <c r="B6" s="59" t="s">
        <v>995</v>
      </c>
      <c r="C6" s="58" t="s">
        <v>2000</v>
      </c>
      <c r="D6" s="60" t="s">
        <v>2001</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0"/>
  <sheetViews>
    <sheetView zoomScaleNormal="100" workbookViewId="0">
      <selection activeCell="A11" sqref="A11"/>
    </sheetView>
  </sheetViews>
  <sheetFormatPr baseColWidth="10" defaultColWidth="12.5703125" defaultRowHeight="15" x14ac:dyDescent="0.25"/>
  <sheetData>
    <row r="1" spans="1:1" x14ac:dyDescent="0.25">
      <c r="A1" t="s">
        <v>2002</v>
      </c>
    </row>
    <row r="2" spans="1:1" x14ac:dyDescent="0.25">
      <c r="A2" t="s">
        <v>2003</v>
      </c>
    </row>
    <row r="3" spans="1:1" x14ac:dyDescent="0.25">
      <c r="A3" t="s">
        <v>2004</v>
      </c>
    </row>
    <row r="4" spans="1:1" x14ac:dyDescent="0.25">
      <c r="A4" t="s">
        <v>2005</v>
      </c>
    </row>
    <row r="5" spans="1:1" x14ac:dyDescent="0.25">
      <c r="A5" t="s">
        <v>2006</v>
      </c>
    </row>
    <row r="6" spans="1:1" x14ac:dyDescent="0.25">
      <c r="A6" t="s">
        <v>2007</v>
      </c>
    </row>
    <row r="7" spans="1:1" x14ac:dyDescent="0.25">
      <c r="A7" t="s">
        <v>2008</v>
      </c>
    </row>
    <row r="8" spans="1:1" x14ac:dyDescent="0.25">
      <c r="A8" t="s">
        <v>2009</v>
      </c>
    </row>
    <row r="9" spans="1:1" x14ac:dyDescent="0.25">
      <c r="A9" t="s">
        <v>2010</v>
      </c>
    </row>
    <row r="10" spans="1:1" x14ac:dyDescent="0.25">
      <c r="A10" t="s">
        <v>2011</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80" t="s">
        <v>2012</v>
      </c>
      <c r="B1" s="80"/>
      <c r="C1" s="80"/>
      <c r="D1" s="80"/>
      <c r="E1" s="80" t="s">
        <v>2013</v>
      </c>
      <c r="F1" s="80"/>
      <c r="G1" s="80"/>
      <c r="H1" s="80"/>
      <c r="I1" s="80" t="s">
        <v>2014</v>
      </c>
      <c r="J1" s="80"/>
      <c r="K1" s="80"/>
      <c r="L1" s="80"/>
      <c r="M1" s="80"/>
      <c r="N1" s="80"/>
      <c r="O1" s="80"/>
      <c r="P1" s="80"/>
      <c r="Q1" s="80"/>
    </row>
    <row r="2" spans="1:17" x14ac:dyDescent="0.25">
      <c r="A2">
        <v>24</v>
      </c>
      <c r="B2" t="s">
        <v>2015</v>
      </c>
      <c r="E2">
        <v>21</v>
      </c>
      <c r="F2" t="s">
        <v>2016</v>
      </c>
      <c r="I2" t="s">
        <v>2017</v>
      </c>
    </row>
    <row r="3" spans="1:17" x14ac:dyDescent="0.25">
      <c r="E3">
        <v>22</v>
      </c>
      <c r="F3" t="s">
        <v>2018</v>
      </c>
      <c r="I3" t="s">
        <v>2019</v>
      </c>
    </row>
    <row r="4" spans="1:17" x14ac:dyDescent="0.25">
      <c r="E4">
        <v>23</v>
      </c>
      <c r="F4" t="s">
        <v>2020</v>
      </c>
      <c r="I4" t="s">
        <v>2021</v>
      </c>
    </row>
    <row r="5" spans="1:17" x14ac:dyDescent="0.25">
      <c r="E5">
        <v>24</v>
      </c>
      <c r="F5" t="s">
        <v>2022</v>
      </c>
      <c r="I5" t="s">
        <v>2023</v>
      </c>
    </row>
    <row r="6" spans="1:17" x14ac:dyDescent="0.25">
      <c r="I6" t="s">
        <v>2024</v>
      </c>
    </row>
    <row r="7" spans="1:17" x14ac:dyDescent="0.25">
      <c r="I7" t="s">
        <v>2025</v>
      </c>
    </row>
    <row r="8" spans="1:17" x14ac:dyDescent="0.25">
      <c r="I8" t="s">
        <v>2026</v>
      </c>
    </row>
    <row r="9" spans="1:17" x14ac:dyDescent="0.25">
      <c r="I9" t="s">
        <v>2027</v>
      </c>
    </row>
    <row r="10" spans="1:17" x14ac:dyDescent="0.25">
      <c r="I10" t="s">
        <v>2028</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2029</v>
      </c>
      <c r="B1" s="3" t="s">
        <v>2030</v>
      </c>
      <c r="C1" s="3" t="s">
        <v>2031</v>
      </c>
      <c r="G1" s="3" t="s">
        <v>1499</v>
      </c>
      <c r="H1" s="3" t="s">
        <v>2032</v>
      </c>
      <c r="I1" s="3" t="s">
        <v>2033</v>
      </c>
      <c r="J1" s="3" t="s">
        <v>2034</v>
      </c>
      <c r="M1" t="s">
        <v>2035</v>
      </c>
    </row>
    <row r="2" spans="1:13" x14ac:dyDescent="0.25">
      <c r="A2">
        <v>1</v>
      </c>
      <c r="B2">
        <v>0</v>
      </c>
      <c r="C2">
        <v>0</v>
      </c>
      <c r="G2" t="s">
        <v>1508</v>
      </c>
      <c r="H2">
        <v>85</v>
      </c>
      <c r="I2">
        <f t="shared" ref="I2:I10" si="0">VLOOKUP($H$15,$A$2:$B$51,2,0)*H2</f>
        <v>87975</v>
      </c>
      <c r="J2">
        <f t="shared" ref="J2:J10" si="1">VLOOKUP($H$15,$A$2:$C$51,3,0)*H2</f>
        <v>1378190</v>
      </c>
      <c r="M2">
        <v>75</v>
      </c>
    </row>
    <row r="3" spans="1:13" x14ac:dyDescent="0.25">
      <c r="A3">
        <v>2</v>
      </c>
      <c r="B3">
        <f t="shared" ref="B3:B34" si="2">(A3*A3+A3)/2</f>
        <v>3</v>
      </c>
      <c r="C3">
        <f>B3</f>
        <v>3</v>
      </c>
      <c r="G3" t="s">
        <v>1510</v>
      </c>
      <c r="H3">
        <v>110</v>
      </c>
      <c r="I3">
        <f t="shared" si="0"/>
        <v>113850</v>
      </c>
      <c r="J3">
        <f t="shared" si="1"/>
        <v>1783540</v>
      </c>
      <c r="M3">
        <v>150</v>
      </c>
    </row>
    <row r="4" spans="1:13" x14ac:dyDescent="0.25">
      <c r="A4">
        <v>3</v>
      </c>
      <c r="B4">
        <f t="shared" si="2"/>
        <v>6</v>
      </c>
      <c r="C4">
        <f t="shared" ref="C4:C51" si="3">C3+B4</f>
        <v>9</v>
      </c>
      <c r="G4" t="s">
        <v>1511</v>
      </c>
      <c r="H4">
        <v>115</v>
      </c>
      <c r="I4">
        <f t="shared" si="0"/>
        <v>119025</v>
      </c>
      <c r="J4">
        <f t="shared" si="1"/>
        <v>1864610</v>
      </c>
      <c r="M4">
        <v>180</v>
      </c>
    </row>
    <row r="5" spans="1:13" x14ac:dyDescent="0.25">
      <c r="A5">
        <v>4</v>
      </c>
      <c r="B5">
        <f t="shared" si="2"/>
        <v>10</v>
      </c>
      <c r="C5">
        <f t="shared" si="3"/>
        <v>19</v>
      </c>
      <c r="G5" t="s">
        <v>1514</v>
      </c>
      <c r="H5">
        <v>100</v>
      </c>
      <c r="I5">
        <f t="shared" si="0"/>
        <v>103500</v>
      </c>
      <c r="J5">
        <f t="shared" si="1"/>
        <v>1621400</v>
      </c>
      <c r="M5">
        <v>100</v>
      </c>
    </row>
    <row r="6" spans="1:13" x14ac:dyDescent="0.25">
      <c r="A6">
        <v>5</v>
      </c>
      <c r="B6">
        <f t="shared" si="2"/>
        <v>15</v>
      </c>
      <c r="C6">
        <f t="shared" si="3"/>
        <v>34</v>
      </c>
      <c r="G6" t="s">
        <v>1516</v>
      </c>
      <c r="H6">
        <v>105</v>
      </c>
      <c r="I6">
        <f t="shared" si="0"/>
        <v>108675</v>
      </c>
      <c r="J6">
        <f t="shared" si="1"/>
        <v>1702470</v>
      </c>
      <c r="M6">
        <v>125</v>
      </c>
    </row>
    <row r="7" spans="1:13" x14ac:dyDescent="0.25">
      <c r="A7">
        <v>6</v>
      </c>
      <c r="B7">
        <f t="shared" si="2"/>
        <v>21</v>
      </c>
      <c r="C7">
        <f t="shared" si="3"/>
        <v>55</v>
      </c>
      <c r="G7" t="s">
        <v>1518</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1522</v>
      </c>
      <c r="H9">
        <v>90</v>
      </c>
      <c r="I9">
        <f t="shared" si="0"/>
        <v>93150</v>
      </c>
      <c r="J9">
        <f t="shared" si="1"/>
        <v>1459260</v>
      </c>
      <c r="M9">
        <v>90</v>
      </c>
    </row>
    <row r="10" spans="1:13" x14ac:dyDescent="0.25">
      <c r="A10">
        <v>9</v>
      </c>
      <c r="B10">
        <f t="shared" si="2"/>
        <v>45</v>
      </c>
      <c r="C10">
        <f t="shared" si="3"/>
        <v>164</v>
      </c>
      <c r="G10" t="s">
        <v>2036</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2037</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2038</v>
      </c>
    </row>
    <row r="21" spans="1:8" x14ac:dyDescent="0.25">
      <c r="A21">
        <v>20</v>
      </c>
      <c r="B21">
        <f t="shared" si="2"/>
        <v>210</v>
      </c>
      <c r="C21">
        <f t="shared" si="3"/>
        <v>1539</v>
      </c>
    </row>
    <row r="22" spans="1:8" x14ac:dyDescent="0.25">
      <c r="A22">
        <v>21</v>
      </c>
      <c r="B22">
        <f t="shared" si="2"/>
        <v>231</v>
      </c>
      <c r="C22">
        <f t="shared" si="3"/>
        <v>1770</v>
      </c>
      <c r="G22" t="s">
        <v>2039</v>
      </c>
      <c r="H22" s="64" t="s">
        <v>1514</v>
      </c>
    </row>
    <row r="23" spans="1:8" x14ac:dyDescent="0.25">
      <c r="A23">
        <v>22</v>
      </c>
      <c r="B23">
        <f t="shared" si="2"/>
        <v>253</v>
      </c>
      <c r="C23">
        <f t="shared" si="3"/>
        <v>2023</v>
      </c>
      <c r="G23" t="s">
        <v>2040</v>
      </c>
      <c r="H23" s="64">
        <f>J4</f>
        <v>1864610</v>
      </c>
    </row>
    <row r="24" spans="1:8" x14ac:dyDescent="0.25">
      <c r="A24">
        <v>23</v>
      </c>
      <c r="B24">
        <f t="shared" si="2"/>
        <v>276</v>
      </c>
      <c r="C24">
        <f t="shared" si="3"/>
        <v>2299</v>
      </c>
      <c r="G24" t="s">
        <v>2041</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885</v>
      </c>
      <c r="B1" t="s">
        <v>2042</v>
      </c>
    </row>
    <row r="2" spans="1:2" x14ac:dyDescent="0.25">
      <c r="A2" t="s">
        <v>869</v>
      </c>
      <c r="B2" t="s">
        <v>2043</v>
      </c>
    </row>
    <row r="3" spans="1:2" x14ac:dyDescent="0.25">
      <c r="A3" t="s">
        <v>2044</v>
      </c>
      <c r="B3" t="s">
        <v>2045</v>
      </c>
    </row>
    <row r="4" spans="1:2" x14ac:dyDescent="0.25">
      <c r="A4" t="s">
        <v>2046</v>
      </c>
      <c r="B4" t="s">
        <v>2047</v>
      </c>
    </row>
    <row r="5" spans="1:2" x14ac:dyDescent="0.25">
      <c r="A5" t="s">
        <v>2048</v>
      </c>
      <c r="B5" t="s">
        <v>2049</v>
      </c>
    </row>
    <row r="6" spans="1:2" x14ac:dyDescent="0.25">
      <c r="A6" t="s">
        <v>2050</v>
      </c>
      <c r="B6" t="s">
        <v>2051</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2052</v>
      </c>
    </row>
    <row r="2" spans="1:2" x14ac:dyDescent="0.25">
      <c r="A2">
        <v>104</v>
      </c>
      <c r="B2" t="s">
        <v>2053</v>
      </c>
    </row>
    <row r="3" spans="1:2" x14ac:dyDescent="0.25">
      <c r="A3">
        <v>105</v>
      </c>
      <c r="B3" t="s">
        <v>1167</v>
      </c>
    </row>
    <row r="4" spans="1:2" x14ac:dyDescent="0.25">
      <c r="A4">
        <v>106</v>
      </c>
      <c r="B4" t="s">
        <v>2054</v>
      </c>
    </row>
    <row r="5" spans="1:2" x14ac:dyDescent="0.25">
      <c r="A5">
        <v>107</v>
      </c>
      <c r="B5" t="s">
        <v>1173</v>
      </c>
    </row>
    <row r="6" spans="1:2" x14ac:dyDescent="0.25">
      <c r="A6">
        <v>108</v>
      </c>
      <c r="B6" t="s">
        <v>2055</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839</v>
      </c>
      <c r="B1" t="s">
        <v>2056</v>
      </c>
    </row>
    <row r="2" spans="1:2" x14ac:dyDescent="0.25">
      <c r="A2">
        <v>26</v>
      </c>
      <c r="B2" t="s">
        <v>2057</v>
      </c>
    </row>
    <row r="3" spans="1:2" x14ac:dyDescent="0.25">
      <c r="A3">
        <v>27</v>
      </c>
      <c r="B3" t="s">
        <v>923</v>
      </c>
    </row>
    <row r="4" spans="1:2" x14ac:dyDescent="0.25">
      <c r="A4">
        <v>28</v>
      </c>
      <c r="B4" t="s">
        <v>2058</v>
      </c>
    </row>
    <row r="5" spans="1:2" x14ac:dyDescent="0.25">
      <c r="A5">
        <v>29</v>
      </c>
      <c r="B5" t="s">
        <v>2059</v>
      </c>
    </row>
    <row r="6" spans="1:2" x14ac:dyDescent="0.25">
      <c r="A6">
        <v>30</v>
      </c>
      <c r="B6" t="s">
        <v>2060</v>
      </c>
    </row>
    <row r="7" spans="1:2" x14ac:dyDescent="0.25">
      <c r="A7">
        <v>31</v>
      </c>
      <c r="B7" t="s">
        <v>2061</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2062</v>
      </c>
    </row>
    <row r="2" spans="1:3" x14ac:dyDescent="0.25">
      <c r="A2">
        <v>54</v>
      </c>
      <c r="B2">
        <v>4</v>
      </c>
      <c r="C2" t="s">
        <v>2063</v>
      </c>
    </row>
    <row r="3" spans="1:3" x14ac:dyDescent="0.25">
      <c r="A3">
        <v>58</v>
      </c>
      <c r="B3">
        <v>20</v>
      </c>
      <c r="C3" t="s">
        <v>2064</v>
      </c>
    </row>
    <row r="8" spans="1:3" x14ac:dyDescent="0.25">
      <c r="A8" t="s">
        <v>2065</v>
      </c>
    </row>
    <row r="13" spans="1:3" x14ac:dyDescent="0.25">
      <c r="A13" t="s">
        <v>2066</v>
      </c>
    </row>
    <row r="14" spans="1:3" x14ac:dyDescent="0.25">
      <c r="A14" t="s">
        <v>2062</v>
      </c>
      <c r="B14" t="s">
        <v>2067</v>
      </c>
      <c r="C14" t="s">
        <v>2068</v>
      </c>
    </row>
    <row r="15" spans="1:3" x14ac:dyDescent="0.25">
      <c r="A15">
        <v>21</v>
      </c>
      <c r="B15">
        <v>5</v>
      </c>
    </row>
    <row r="16" spans="1:3" x14ac:dyDescent="0.25">
      <c r="A16">
        <v>21</v>
      </c>
      <c r="B16">
        <v>6</v>
      </c>
    </row>
    <row r="17" spans="1:3" x14ac:dyDescent="0.25">
      <c r="A17">
        <v>26</v>
      </c>
      <c r="B17">
        <v>1</v>
      </c>
      <c r="C17" t="s">
        <v>2069</v>
      </c>
    </row>
    <row r="18" spans="1:3" x14ac:dyDescent="0.25">
      <c r="A18">
        <v>26</v>
      </c>
      <c r="B18">
        <v>3</v>
      </c>
    </row>
    <row r="19" spans="1:3" x14ac:dyDescent="0.25">
      <c r="A19">
        <v>26</v>
      </c>
      <c r="B19">
        <v>4</v>
      </c>
      <c r="C19" t="s">
        <v>2070</v>
      </c>
    </row>
    <row r="20" spans="1:3" x14ac:dyDescent="0.25">
      <c r="A20">
        <v>40</v>
      </c>
      <c r="B20" t="s">
        <v>2071</v>
      </c>
      <c r="C20" t="s">
        <v>2072</v>
      </c>
    </row>
    <row r="21" spans="1:3" x14ac:dyDescent="0.25">
      <c r="A21">
        <v>37</v>
      </c>
      <c r="B21" t="s">
        <v>2071</v>
      </c>
      <c r="C21" t="s">
        <v>2072</v>
      </c>
    </row>
    <row r="22" spans="1:3" x14ac:dyDescent="0.25">
      <c r="A22">
        <v>45</v>
      </c>
      <c r="B22" t="s">
        <v>2071</v>
      </c>
      <c r="C22" t="s">
        <v>2072</v>
      </c>
    </row>
    <row r="23" spans="1:3" x14ac:dyDescent="0.25">
      <c r="A23">
        <v>10</v>
      </c>
      <c r="B23">
        <v>8</v>
      </c>
      <c r="C23" t="s">
        <v>2073</v>
      </c>
    </row>
    <row r="25" spans="1:3" x14ac:dyDescent="0.25">
      <c r="A25" t="s">
        <v>1131</v>
      </c>
    </row>
    <row r="26" spans="1:3" x14ac:dyDescent="0.25">
      <c r="A26">
        <v>470</v>
      </c>
      <c r="B26" t="s">
        <v>2074</v>
      </c>
    </row>
    <row r="27" spans="1:3" x14ac:dyDescent="0.25">
      <c r="A27">
        <v>263</v>
      </c>
      <c r="B27">
        <v>33.340000000000003</v>
      </c>
      <c r="C27" t="s">
        <v>2075</v>
      </c>
    </row>
    <row r="28" spans="1:3" x14ac:dyDescent="0.25">
      <c r="A28">
        <v>460</v>
      </c>
      <c r="B28">
        <v>4</v>
      </c>
    </row>
    <row r="29" spans="1:3" x14ac:dyDescent="0.25">
      <c r="A29">
        <v>456</v>
      </c>
      <c r="B29">
        <v>0</v>
      </c>
    </row>
    <row r="30" spans="1:3" x14ac:dyDescent="0.25">
      <c r="A30">
        <v>457</v>
      </c>
      <c r="B30" t="s">
        <v>2076</v>
      </c>
    </row>
    <row r="31" spans="1:3" x14ac:dyDescent="0.25">
      <c r="A31">
        <v>472</v>
      </c>
      <c r="B31" t="s">
        <v>2077</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2078</v>
      </c>
    </row>
    <row r="38" spans="1:3" x14ac:dyDescent="0.25">
      <c r="A38">
        <v>435</v>
      </c>
      <c r="B38">
        <v>8</v>
      </c>
    </row>
    <row r="39" spans="1:3" x14ac:dyDescent="0.25">
      <c r="A39">
        <v>374</v>
      </c>
      <c r="C39" t="s">
        <v>2079</v>
      </c>
    </row>
    <row r="45" spans="1:3" x14ac:dyDescent="0.25">
      <c r="A45" t="s">
        <v>2080</v>
      </c>
    </row>
    <row r="46" spans="1:3" x14ac:dyDescent="0.25">
      <c r="A46">
        <v>4</v>
      </c>
      <c r="B46">
        <v>8</v>
      </c>
    </row>
    <row r="48" spans="1:3" x14ac:dyDescent="0.25">
      <c r="A48" t="s">
        <v>2081</v>
      </c>
      <c r="B48" t="s">
        <v>1141</v>
      </c>
    </row>
    <row r="49" spans="1:2" x14ac:dyDescent="0.25">
      <c r="A49" t="s">
        <v>12</v>
      </c>
    </row>
    <row r="52" spans="1:2" x14ac:dyDescent="0.25">
      <c r="A52" t="s">
        <v>2082</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1" t="s">
        <v>2083</v>
      </c>
      <c r="B1" s="81"/>
      <c r="C1" s="81"/>
      <c r="E1" s="72" t="s">
        <v>2084</v>
      </c>
      <c r="F1" s="72"/>
      <c r="G1" s="72"/>
      <c r="H1" s="72"/>
    </row>
    <row r="2" spans="1:8" x14ac:dyDescent="0.25">
      <c r="A2" s="2" t="s">
        <v>2085</v>
      </c>
      <c r="B2" s="2" t="s">
        <v>2086</v>
      </c>
      <c r="C2" s="2" t="s">
        <v>2087</v>
      </c>
      <c r="E2" s="65" t="s">
        <v>487</v>
      </c>
      <c r="F2" s="65" t="s">
        <v>2088</v>
      </c>
      <c r="G2" s="65" t="s">
        <v>2089</v>
      </c>
      <c r="H2" s="65" t="s">
        <v>2090</v>
      </c>
    </row>
    <row r="3" spans="1:8" x14ac:dyDescent="0.25">
      <c r="A3" t="s">
        <v>2029</v>
      </c>
      <c r="B3">
        <v>1</v>
      </c>
      <c r="C3">
        <v>1</v>
      </c>
      <c r="E3" s="58" t="s">
        <v>2091</v>
      </c>
      <c r="F3" s="58">
        <v>5</v>
      </c>
      <c r="G3" s="58">
        <v>5</v>
      </c>
      <c r="H3" s="58">
        <v>10</v>
      </c>
    </row>
    <row r="4" spans="1:8" x14ac:dyDescent="0.25">
      <c r="A4" t="s">
        <v>2090</v>
      </c>
      <c r="B4">
        <v>6</v>
      </c>
      <c r="C4">
        <v>6</v>
      </c>
      <c r="E4" s="58"/>
      <c r="F4" s="58"/>
      <c r="G4" s="58"/>
      <c r="H4" s="58"/>
    </row>
    <row r="5" spans="1:8" x14ac:dyDescent="0.25">
      <c r="A5" t="s">
        <v>2092</v>
      </c>
      <c r="B5">
        <v>5</v>
      </c>
      <c r="C5">
        <v>5</v>
      </c>
      <c r="E5" s="58"/>
      <c r="F5" s="58"/>
      <c r="G5" s="58"/>
      <c r="H5" s="58"/>
    </row>
    <row r="6" spans="1:8" x14ac:dyDescent="0.25">
      <c r="A6" t="s">
        <v>2093</v>
      </c>
      <c r="B6">
        <v>3</v>
      </c>
      <c r="C6">
        <v>3</v>
      </c>
      <c r="E6" s="58"/>
      <c r="F6" s="58"/>
      <c r="G6" s="58"/>
      <c r="H6" s="58"/>
    </row>
    <row r="7" spans="1:8" x14ac:dyDescent="0.25">
      <c r="A7" t="s">
        <v>2088</v>
      </c>
      <c r="B7">
        <v>2</v>
      </c>
      <c r="C7">
        <v>2</v>
      </c>
      <c r="E7" s="58"/>
      <c r="F7" s="58"/>
      <c r="G7" s="58"/>
      <c r="H7" s="58"/>
    </row>
    <row r="8" spans="1:8" x14ac:dyDescent="0.25">
      <c r="A8" t="s">
        <v>2089</v>
      </c>
      <c r="B8">
        <v>0</v>
      </c>
      <c r="C8">
        <v>0</v>
      </c>
      <c r="E8" s="66" t="s">
        <v>2094</v>
      </c>
      <c r="F8" s="66">
        <f>SUM(F3:F7)</f>
        <v>5</v>
      </c>
      <c r="G8" s="66">
        <f>SUM(G3:G7)</f>
        <v>5</v>
      </c>
      <c r="H8" s="66">
        <f>SUM(H3:H7)</f>
        <v>10</v>
      </c>
    </row>
    <row r="9" spans="1:8" x14ac:dyDescent="0.25">
      <c r="A9" t="s">
        <v>2095</v>
      </c>
      <c r="B9">
        <v>5</v>
      </c>
      <c r="C9">
        <v>10</v>
      </c>
    </row>
    <row r="10" spans="1:8" x14ac:dyDescent="0.25">
      <c r="A10" t="s">
        <v>1818</v>
      </c>
      <c r="B10">
        <v>5</v>
      </c>
      <c r="C10">
        <v>15</v>
      </c>
    </row>
    <row r="11" spans="1:8" x14ac:dyDescent="0.25">
      <c r="A11" t="s">
        <v>2096</v>
      </c>
      <c r="B11">
        <v>20</v>
      </c>
      <c r="C11">
        <v>25</v>
      </c>
      <c r="E11" s="66" t="s">
        <v>2097</v>
      </c>
      <c r="F11" s="66">
        <v>10</v>
      </c>
    </row>
    <row r="12" spans="1:8" x14ac:dyDescent="0.25">
      <c r="A12" t="s">
        <v>2098</v>
      </c>
      <c r="B12">
        <v>135</v>
      </c>
      <c r="C12">
        <v>150</v>
      </c>
      <c r="E12" s="66" t="s">
        <v>2099</v>
      </c>
      <c r="F12" s="66">
        <v>7</v>
      </c>
    </row>
    <row r="13" spans="1:8" x14ac:dyDescent="0.25">
      <c r="A13" t="s">
        <v>2100</v>
      </c>
      <c r="B13">
        <v>2</v>
      </c>
      <c r="C13">
        <v>10</v>
      </c>
    </row>
    <row r="14" spans="1:8" x14ac:dyDescent="0.25">
      <c r="A14" t="s">
        <v>2101</v>
      </c>
      <c r="B14">
        <v>5</v>
      </c>
      <c r="C14">
        <v>50</v>
      </c>
    </row>
    <row r="15" spans="1:8" x14ac:dyDescent="0.25">
      <c r="A15" t="s">
        <v>2102</v>
      </c>
      <c r="B15">
        <v>15</v>
      </c>
      <c r="C15">
        <v>95</v>
      </c>
    </row>
    <row r="16" spans="1:8" x14ac:dyDescent="0.25">
      <c r="A16" t="s">
        <v>2103</v>
      </c>
      <c r="B16">
        <v>0</v>
      </c>
      <c r="C16">
        <v>0</v>
      </c>
    </row>
    <row r="17" spans="1:9" x14ac:dyDescent="0.25">
      <c r="A17" t="s">
        <v>2104</v>
      </c>
      <c r="B17">
        <v>30</v>
      </c>
      <c r="C17">
        <v>85</v>
      </c>
      <c r="E17" s="72" t="s">
        <v>2105</v>
      </c>
      <c r="F17" s="72"/>
      <c r="G17" s="72"/>
      <c r="H17" s="72"/>
    </row>
    <row r="18" spans="1:9" x14ac:dyDescent="0.25">
      <c r="A18" t="s">
        <v>2106</v>
      </c>
      <c r="B18">
        <v>0</v>
      </c>
      <c r="C18">
        <v>25</v>
      </c>
      <c r="E18" s="65" t="s">
        <v>2085</v>
      </c>
      <c r="F18" s="65" t="s">
        <v>2086</v>
      </c>
      <c r="G18" s="65" t="s">
        <v>2087</v>
      </c>
      <c r="H18" s="65" t="s">
        <v>2107</v>
      </c>
    </row>
    <row r="19" spans="1:9" x14ac:dyDescent="0.25">
      <c r="A19" t="s">
        <v>2108</v>
      </c>
      <c r="B19">
        <v>0</v>
      </c>
      <c r="C19">
        <v>99</v>
      </c>
      <c r="E19" s="58" t="s">
        <v>2029</v>
      </c>
      <c r="F19" s="58">
        <f>C3+C26+C34+C41+C48+C55+C63+C70+C77</f>
        <v>33</v>
      </c>
      <c r="G19" s="66">
        <f>F19</f>
        <v>33</v>
      </c>
      <c r="H19" s="58">
        <f t="shared" ref="H19:H39" si="0">ROUNDDOWN(AVERAGE(F19:G19),0)</f>
        <v>33</v>
      </c>
    </row>
    <row r="20" spans="1:9" x14ac:dyDescent="0.25">
      <c r="A20" t="s">
        <v>2109</v>
      </c>
      <c r="B20">
        <v>0</v>
      </c>
      <c r="C20">
        <v>0</v>
      </c>
      <c r="E20" s="58" t="s">
        <v>2090</v>
      </c>
      <c r="F20" s="58">
        <f>B4+B29+B66+B71+(F19-B3)*(F11/2)</f>
        <v>209</v>
      </c>
      <c r="G20" s="66">
        <f>C4+C29+C66+C71+(G19-C3)*F11+H8</f>
        <v>391</v>
      </c>
      <c r="H20" s="58">
        <f t="shared" si="0"/>
        <v>300</v>
      </c>
      <c r="I20" t="s">
        <v>2110</v>
      </c>
    </row>
    <row r="21" spans="1:9" x14ac:dyDescent="0.25">
      <c r="A21" t="s">
        <v>2111</v>
      </c>
      <c r="B21">
        <v>20</v>
      </c>
      <c r="C21">
        <v>60</v>
      </c>
      <c r="E21" s="58" t="s">
        <v>2092</v>
      </c>
      <c r="F21" s="58">
        <f>B5+B30+B81+(F19-B3)*(F12/2)</f>
        <v>147</v>
      </c>
      <c r="G21" s="66">
        <f>B5+B30+B81+(F19-B3)*F12</f>
        <v>259</v>
      </c>
      <c r="H21" s="58">
        <f t="shared" si="0"/>
        <v>203</v>
      </c>
    </row>
    <row r="22" spans="1:9" x14ac:dyDescent="0.25">
      <c r="A22" t="s">
        <v>2112</v>
      </c>
      <c r="B22">
        <v>0</v>
      </c>
      <c r="C22">
        <v>0</v>
      </c>
      <c r="E22" s="58" t="s">
        <v>2093</v>
      </c>
      <c r="F22" s="58">
        <f>B6+B37+B50</f>
        <v>5</v>
      </c>
      <c r="G22" s="66">
        <f>F22</f>
        <v>5</v>
      </c>
      <c r="H22" s="58">
        <f t="shared" si="0"/>
        <v>5</v>
      </c>
    </row>
    <row r="23" spans="1:9" x14ac:dyDescent="0.25">
      <c r="A23" t="s">
        <v>2113</v>
      </c>
      <c r="B23">
        <v>0</v>
      </c>
      <c r="C23">
        <v>0</v>
      </c>
      <c r="E23" s="58" t="s">
        <v>2088</v>
      </c>
      <c r="F23" s="58">
        <f>B7+B36+B56+B65+ROUNDDOWN(F25/25,0)</f>
        <v>20</v>
      </c>
      <c r="G23" s="66">
        <f>C7+C36+C56+C65+F8+ROUNDDOWN(G25/25,0)</f>
        <v>31</v>
      </c>
      <c r="H23" s="58">
        <f t="shared" si="0"/>
        <v>25</v>
      </c>
      <c r="I23" t="s">
        <v>2110</v>
      </c>
    </row>
    <row r="24" spans="1:9" x14ac:dyDescent="0.25">
      <c r="E24" s="58" t="s">
        <v>2089</v>
      </c>
      <c r="F24" s="58">
        <f>B8+B42+B57+ROUNDDOWN(F29/25,0)</f>
        <v>17</v>
      </c>
      <c r="G24" s="66">
        <f>C8+C42+C57+G8+ROUNDDOWN(G29/25,0)</f>
        <v>27</v>
      </c>
      <c r="H24" s="58">
        <f t="shared" si="0"/>
        <v>22</v>
      </c>
      <c r="I24" t="s">
        <v>2110</v>
      </c>
    </row>
    <row r="25" spans="1:9" x14ac:dyDescent="0.25">
      <c r="A25" s="2" t="s">
        <v>2044</v>
      </c>
      <c r="B25" s="2" t="s">
        <v>2086</v>
      </c>
      <c r="C25" s="2" t="s">
        <v>2087</v>
      </c>
      <c r="E25" s="58" t="s">
        <v>2095</v>
      </c>
      <c r="F25" s="58">
        <f>B9+B44+B64</f>
        <v>25</v>
      </c>
      <c r="G25" s="66">
        <f>C9+C44+C64</f>
        <v>30</v>
      </c>
      <c r="H25" s="58">
        <f t="shared" si="0"/>
        <v>27</v>
      </c>
    </row>
    <row r="26" spans="1:9" x14ac:dyDescent="0.25">
      <c r="A26" t="s">
        <v>2029</v>
      </c>
      <c r="B26">
        <v>4</v>
      </c>
      <c r="C26">
        <v>4</v>
      </c>
      <c r="E26" s="58" t="s">
        <v>1818</v>
      </c>
      <c r="F26" s="58">
        <f>B10+B78</f>
        <v>15</v>
      </c>
      <c r="G26" s="66">
        <f>C10+C78</f>
        <v>25</v>
      </c>
      <c r="H26" s="58">
        <f t="shared" si="0"/>
        <v>20</v>
      </c>
    </row>
    <row r="27" spans="1:9" x14ac:dyDescent="0.25">
      <c r="A27" t="s">
        <v>2100</v>
      </c>
      <c r="B27">
        <v>10</v>
      </c>
      <c r="C27">
        <v>10</v>
      </c>
      <c r="E27" s="58" t="s">
        <v>2096</v>
      </c>
      <c r="F27" s="58">
        <f>B11+B79</f>
        <v>30</v>
      </c>
      <c r="G27" s="66">
        <f>C11+C79</f>
        <v>35</v>
      </c>
      <c r="H27" s="58">
        <f t="shared" si="0"/>
        <v>32</v>
      </c>
    </row>
    <row r="28" spans="1:9" x14ac:dyDescent="0.25">
      <c r="A28" t="s">
        <v>2108</v>
      </c>
      <c r="B28">
        <v>20</v>
      </c>
      <c r="C28">
        <v>20</v>
      </c>
      <c r="E28" s="58" t="s">
        <v>2098</v>
      </c>
      <c r="F28" s="58">
        <f>B12+B49</f>
        <v>145</v>
      </c>
      <c r="G28" s="66">
        <f>C12+C49</f>
        <v>160</v>
      </c>
      <c r="H28" s="58">
        <f t="shared" si="0"/>
        <v>152</v>
      </c>
    </row>
    <row r="29" spans="1:9" x14ac:dyDescent="0.25">
      <c r="A29" t="s">
        <v>2090</v>
      </c>
      <c r="B29">
        <v>18</v>
      </c>
      <c r="C29">
        <v>22</v>
      </c>
      <c r="E29" s="58" t="s">
        <v>2100</v>
      </c>
      <c r="F29" s="58">
        <f>B13+B27+B58</f>
        <v>22</v>
      </c>
      <c r="G29" s="66">
        <f>C13+C27+C58</f>
        <v>30</v>
      </c>
      <c r="H29" s="58">
        <f t="shared" si="0"/>
        <v>26</v>
      </c>
    </row>
    <row r="30" spans="1:9" x14ac:dyDescent="0.25">
      <c r="A30" t="s">
        <v>2092</v>
      </c>
      <c r="B30">
        <v>5</v>
      </c>
      <c r="C30">
        <v>5</v>
      </c>
      <c r="E30" s="58" t="s">
        <v>2101</v>
      </c>
      <c r="F30" s="58">
        <f>B14+B59+B80</f>
        <v>25</v>
      </c>
      <c r="G30" s="66">
        <f>C14+C59+C80</f>
        <v>70</v>
      </c>
      <c r="H30" s="58">
        <f t="shared" si="0"/>
        <v>47</v>
      </c>
    </row>
    <row r="31" spans="1:9" x14ac:dyDescent="0.25">
      <c r="E31" s="58" t="s">
        <v>2102</v>
      </c>
      <c r="F31" s="58">
        <f>B15</f>
        <v>15</v>
      </c>
      <c r="G31" s="66">
        <f>C15</f>
        <v>95</v>
      </c>
      <c r="H31" s="58">
        <f t="shared" si="0"/>
        <v>55</v>
      </c>
    </row>
    <row r="32" spans="1:9" x14ac:dyDescent="0.25">
      <c r="E32" s="58" t="s">
        <v>2103</v>
      </c>
      <c r="F32" s="58">
        <f>B16+B35+B43+B51</f>
        <v>15</v>
      </c>
      <c r="G32" s="66">
        <f>C16+C35+C43+C51</f>
        <v>15</v>
      </c>
      <c r="H32" s="58">
        <f t="shared" si="0"/>
        <v>15</v>
      </c>
    </row>
    <row r="33" spans="1:8" x14ac:dyDescent="0.25">
      <c r="A33" s="2" t="s">
        <v>869</v>
      </c>
      <c r="B33" s="2" t="s">
        <v>2086</v>
      </c>
      <c r="C33" s="2" t="s">
        <v>2087</v>
      </c>
      <c r="E33" s="58" t="s">
        <v>2104</v>
      </c>
      <c r="F33" s="58">
        <v>30</v>
      </c>
      <c r="G33" s="66">
        <v>85</v>
      </c>
      <c r="H33" s="58">
        <f t="shared" si="0"/>
        <v>57</v>
      </c>
    </row>
    <row r="34" spans="1:8" x14ac:dyDescent="0.25">
      <c r="A34" t="s">
        <v>2029</v>
      </c>
      <c r="B34">
        <v>4</v>
      </c>
      <c r="C34">
        <v>4</v>
      </c>
      <c r="E34" s="58" t="s">
        <v>2106</v>
      </c>
      <c r="F34" s="58">
        <v>0</v>
      </c>
      <c r="G34" s="66">
        <v>25</v>
      </c>
      <c r="H34" s="58">
        <f t="shared" si="0"/>
        <v>12</v>
      </c>
    </row>
    <row r="35" spans="1:8" x14ac:dyDescent="0.25">
      <c r="A35" t="s">
        <v>2103</v>
      </c>
      <c r="B35">
        <v>5</v>
      </c>
      <c r="C35">
        <v>5</v>
      </c>
      <c r="E35" s="58" t="s">
        <v>2108</v>
      </c>
      <c r="F35" s="58">
        <f>B19+B28</f>
        <v>20</v>
      </c>
      <c r="G35" s="66">
        <v>99</v>
      </c>
      <c r="H35" s="58">
        <f t="shared" si="0"/>
        <v>59</v>
      </c>
    </row>
    <row r="36" spans="1:8" x14ac:dyDescent="0.25">
      <c r="A36" t="s">
        <v>2088</v>
      </c>
      <c r="B36">
        <v>4</v>
      </c>
      <c r="C36">
        <v>6</v>
      </c>
      <c r="E36" s="58" t="s">
        <v>2109</v>
      </c>
      <c r="F36" s="58">
        <v>0</v>
      </c>
      <c r="G36" s="66">
        <f>C20+C82</f>
        <v>5</v>
      </c>
      <c r="H36" s="58">
        <f t="shared" si="0"/>
        <v>2</v>
      </c>
    </row>
    <row r="37" spans="1:8" x14ac:dyDescent="0.25">
      <c r="A37" t="s">
        <v>2093</v>
      </c>
      <c r="B37">
        <v>1</v>
      </c>
      <c r="C37">
        <v>1</v>
      </c>
      <c r="E37" s="58" t="s">
        <v>2111</v>
      </c>
      <c r="F37" s="58">
        <v>20</v>
      </c>
      <c r="G37" s="66">
        <v>60</v>
      </c>
      <c r="H37" s="58">
        <f t="shared" si="0"/>
        <v>40</v>
      </c>
    </row>
    <row r="38" spans="1:8" x14ac:dyDescent="0.25">
      <c r="E38" s="58" t="s">
        <v>2112</v>
      </c>
      <c r="F38" s="58">
        <f>B22+B45+B60+B84</f>
        <v>3</v>
      </c>
      <c r="G38" s="66">
        <f>F38</f>
        <v>3</v>
      </c>
      <c r="H38" s="58">
        <f t="shared" si="0"/>
        <v>3</v>
      </c>
    </row>
    <row r="39" spans="1:8" x14ac:dyDescent="0.25">
      <c r="E39" s="58" t="s">
        <v>2113</v>
      </c>
      <c r="F39" s="58">
        <f>B23+B67+B72+B83</f>
        <v>3</v>
      </c>
      <c r="G39" s="66">
        <f>F39</f>
        <v>3</v>
      </c>
      <c r="H39" s="58">
        <f t="shared" si="0"/>
        <v>3</v>
      </c>
    </row>
    <row r="40" spans="1:8" x14ac:dyDescent="0.25">
      <c r="A40" s="2" t="s">
        <v>885</v>
      </c>
      <c r="B40" s="2" t="s">
        <v>2086</v>
      </c>
      <c r="C40" s="2" t="s">
        <v>2087</v>
      </c>
    </row>
    <row r="41" spans="1:8" x14ac:dyDescent="0.25">
      <c r="A41" t="s">
        <v>2029</v>
      </c>
      <c r="B41">
        <v>4</v>
      </c>
      <c r="C41">
        <v>4</v>
      </c>
    </row>
    <row r="42" spans="1:8" x14ac:dyDescent="0.25">
      <c r="A42" t="s">
        <v>2089</v>
      </c>
      <c r="B42">
        <v>13</v>
      </c>
      <c r="C42">
        <v>15</v>
      </c>
    </row>
    <row r="43" spans="1:8" x14ac:dyDescent="0.25">
      <c r="A43" t="s">
        <v>2103</v>
      </c>
      <c r="B43">
        <v>5</v>
      </c>
      <c r="C43">
        <v>5</v>
      </c>
    </row>
    <row r="44" spans="1:8" x14ac:dyDescent="0.25">
      <c r="A44" t="s">
        <v>2095</v>
      </c>
      <c r="B44">
        <v>10</v>
      </c>
      <c r="C44">
        <v>10</v>
      </c>
    </row>
    <row r="45" spans="1:8" x14ac:dyDescent="0.25">
      <c r="A45" t="s">
        <v>2112</v>
      </c>
      <c r="B45">
        <v>1</v>
      </c>
      <c r="C45">
        <v>1</v>
      </c>
    </row>
    <row r="47" spans="1:8" x14ac:dyDescent="0.25">
      <c r="A47" s="2" t="s">
        <v>2046</v>
      </c>
      <c r="B47" s="2" t="s">
        <v>2086</v>
      </c>
      <c r="C47" s="2" t="s">
        <v>2087</v>
      </c>
    </row>
    <row r="48" spans="1:8" x14ac:dyDescent="0.25">
      <c r="A48" t="s">
        <v>2029</v>
      </c>
      <c r="B48">
        <v>4</v>
      </c>
      <c r="C48">
        <v>4</v>
      </c>
    </row>
    <row r="49" spans="1:3" x14ac:dyDescent="0.25">
      <c r="A49" t="s">
        <v>2098</v>
      </c>
      <c r="B49">
        <v>10</v>
      </c>
      <c r="C49">
        <v>10</v>
      </c>
    </row>
    <row r="50" spans="1:3" x14ac:dyDescent="0.25">
      <c r="A50" t="s">
        <v>2093</v>
      </c>
      <c r="B50">
        <v>1</v>
      </c>
      <c r="C50">
        <v>1</v>
      </c>
    </row>
    <row r="51" spans="1:3" x14ac:dyDescent="0.25">
      <c r="A51" t="s">
        <v>2103</v>
      </c>
      <c r="B51">
        <v>5</v>
      </c>
      <c r="C51">
        <v>5</v>
      </c>
    </row>
    <row r="54" spans="1:3" x14ac:dyDescent="0.25">
      <c r="A54" s="2" t="s">
        <v>2048</v>
      </c>
      <c r="B54" s="2" t="s">
        <v>2086</v>
      </c>
      <c r="C54" s="2" t="s">
        <v>2087</v>
      </c>
    </row>
    <row r="55" spans="1:3" x14ac:dyDescent="0.25">
      <c r="A55" t="s">
        <v>2029</v>
      </c>
      <c r="B55">
        <v>4</v>
      </c>
      <c r="C55">
        <v>4</v>
      </c>
    </row>
    <row r="56" spans="1:3" x14ac:dyDescent="0.25">
      <c r="A56" t="s">
        <v>2088</v>
      </c>
      <c r="B56">
        <v>4</v>
      </c>
      <c r="C56">
        <v>6</v>
      </c>
    </row>
    <row r="57" spans="1:3" x14ac:dyDescent="0.25">
      <c r="A57" t="s">
        <v>2089</v>
      </c>
      <c r="B57">
        <v>4</v>
      </c>
      <c r="C57">
        <v>6</v>
      </c>
    </row>
    <row r="58" spans="1:3" x14ac:dyDescent="0.25">
      <c r="A58" t="s">
        <v>2100</v>
      </c>
      <c r="B58">
        <v>10</v>
      </c>
      <c r="C58">
        <v>10</v>
      </c>
    </row>
    <row r="59" spans="1:3" x14ac:dyDescent="0.25">
      <c r="A59" t="s">
        <v>2101</v>
      </c>
      <c r="B59">
        <v>10</v>
      </c>
      <c r="C59">
        <v>10</v>
      </c>
    </row>
    <row r="60" spans="1:3" x14ac:dyDescent="0.25">
      <c r="A60" t="s">
        <v>2112</v>
      </c>
      <c r="B60">
        <v>1</v>
      </c>
      <c r="C60">
        <v>1</v>
      </c>
    </row>
    <row r="62" spans="1:3" x14ac:dyDescent="0.25">
      <c r="A62" s="2" t="s">
        <v>2050</v>
      </c>
      <c r="B62" s="2" t="s">
        <v>2086</v>
      </c>
      <c r="C62" s="2" t="s">
        <v>2087</v>
      </c>
    </row>
    <row r="63" spans="1:3" x14ac:dyDescent="0.25">
      <c r="A63" t="s">
        <v>2029</v>
      </c>
      <c r="B63">
        <v>4</v>
      </c>
      <c r="C63">
        <v>4</v>
      </c>
    </row>
    <row r="64" spans="1:3" x14ac:dyDescent="0.25">
      <c r="A64" t="s">
        <v>2095</v>
      </c>
      <c r="B64">
        <v>10</v>
      </c>
      <c r="C64">
        <v>10</v>
      </c>
    </row>
    <row r="65" spans="1:3" x14ac:dyDescent="0.25">
      <c r="A65" t="s">
        <v>2088</v>
      </c>
      <c r="B65">
        <v>9</v>
      </c>
      <c r="C65">
        <v>11</v>
      </c>
    </row>
    <row r="66" spans="1:3" x14ac:dyDescent="0.25">
      <c r="A66" t="s">
        <v>2090</v>
      </c>
      <c r="B66">
        <v>10</v>
      </c>
      <c r="C66">
        <v>15</v>
      </c>
    </row>
    <row r="67" spans="1:3" x14ac:dyDescent="0.25">
      <c r="A67" t="s">
        <v>2113</v>
      </c>
      <c r="B67">
        <v>1</v>
      </c>
      <c r="C67">
        <v>1</v>
      </c>
    </row>
    <row r="69" spans="1:3" x14ac:dyDescent="0.25">
      <c r="A69" s="2" t="s">
        <v>2114</v>
      </c>
      <c r="B69" s="2" t="s">
        <v>2086</v>
      </c>
      <c r="C69" s="2" t="s">
        <v>2087</v>
      </c>
    </row>
    <row r="70" spans="1:3" x14ac:dyDescent="0.25">
      <c r="A70" t="s">
        <v>2029</v>
      </c>
      <c r="B70">
        <v>3</v>
      </c>
      <c r="C70">
        <v>3</v>
      </c>
    </row>
    <row r="71" spans="1:3" x14ac:dyDescent="0.25">
      <c r="A71" t="s">
        <v>2090</v>
      </c>
      <c r="B71">
        <v>15</v>
      </c>
      <c r="C71">
        <v>18</v>
      </c>
    </row>
    <row r="72" spans="1:3" x14ac:dyDescent="0.25">
      <c r="A72" t="s">
        <v>2113</v>
      </c>
      <c r="B72">
        <v>1</v>
      </c>
      <c r="C72">
        <v>1</v>
      </c>
    </row>
    <row r="76" spans="1:3" x14ac:dyDescent="0.25">
      <c r="A76" s="2" t="s">
        <v>2115</v>
      </c>
      <c r="B76" s="2" t="s">
        <v>2086</v>
      </c>
      <c r="C76" s="2" t="s">
        <v>2087</v>
      </c>
    </row>
    <row r="77" spans="1:3" x14ac:dyDescent="0.25">
      <c r="A77" t="s">
        <v>2029</v>
      </c>
      <c r="B77">
        <v>5</v>
      </c>
      <c r="C77">
        <v>5</v>
      </c>
    </row>
    <row r="78" spans="1:3" x14ac:dyDescent="0.25">
      <c r="A78" t="s">
        <v>1818</v>
      </c>
      <c r="B78">
        <v>10</v>
      </c>
      <c r="C78">
        <v>10</v>
      </c>
    </row>
    <row r="79" spans="1:3" x14ac:dyDescent="0.25">
      <c r="A79" t="s">
        <v>2096</v>
      </c>
      <c r="B79">
        <v>10</v>
      </c>
      <c r="C79">
        <v>10</v>
      </c>
    </row>
    <row r="80" spans="1:3" x14ac:dyDescent="0.25">
      <c r="A80" t="s">
        <v>2101</v>
      </c>
      <c r="B80">
        <v>10</v>
      </c>
      <c r="C80">
        <v>10</v>
      </c>
    </row>
    <row r="81" spans="1:3" x14ac:dyDescent="0.25">
      <c r="A81" t="s">
        <v>2092</v>
      </c>
      <c r="B81">
        <v>25</v>
      </c>
      <c r="C81">
        <v>25</v>
      </c>
    </row>
    <row r="82" spans="1:3" x14ac:dyDescent="0.25">
      <c r="A82" t="s">
        <v>2116</v>
      </c>
      <c r="B82">
        <v>5</v>
      </c>
      <c r="C82">
        <v>5</v>
      </c>
    </row>
    <row r="83" spans="1:3" x14ac:dyDescent="0.25">
      <c r="A83" t="s">
        <v>2113</v>
      </c>
      <c r="B83">
        <v>1</v>
      </c>
      <c r="C83">
        <v>1</v>
      </c>
    </row>
    <row r="84" spans="1:3" x14ac:dyDescent="0.25">
      <c r="A84" t="s">
        <v>2112</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2117</v>
      </c>
      <c r="B1" t="s">
        <v>2118</v>
      </c>
    </row>
    <row r="2" spans="1:2" x14ac:dyDescent="0.25">
      <c r="A2" t="s">
        <v>2119</v>
      </c>
    </row>
    <row r="3" spans="1:2" x14ac:dyDescent="0.25">
      <c r="A3" t="s">
        <v>2120</v>
      </c>
    </row>
    <row r="4" spans="1:2" x14ac:dyDescent="0.25">
      <c r="A4" t="s">
        <v>2121</v>
      </c>
    </row>
    <row r="5" spans="1:2" x14ac:dyDescent="0.25">
      <c r="A5" t="s">
        <v>2122</v>
      </c>
    </row>
    <row r="6" spans="1:2" x14ac:dyDescent="0.25">
      <c r="A6" t="s">
        <v>2123</v>
      </c>
    </row>
    <row r="7" spans="1:2" x14ac:dyDescent="0.25">
      <c r="A7" t="s">
        <v>2124</v>
      </c>
    </row>
    <row r="8" spans="1:2" x14ac:dyDescent="0.25">
      <c r="A8" t="s">
        <v>2125</v>
      </c>
    </row>
    <row r="9" spans="1:2" x14ac:dyDescent="0.25">
      <c r="A9" t="s">
        <v>2126</v>
      </c>
    </row>
    <row r="10" spans="1:2" x14ac:dyDescent="0.25">
      <c r="A10" t="s">
        <v>2127</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575</v>
      </c>
      <c r="B1" t="s">
        <v>1077</v>
      </c>
      <c r="D1" t="s">
        <v>488</v>
      </c>
      <c r="E1" t="s">
        <v>486</v>
      </c>
      <c r="F1" t="s">
        <v>2128</v>
      </c>
      <c r="G1" t="s">
        <v>2129</v>
      </c>
    </row>
    <row r="2" spans="1:7" x14ac:dyDescent="0.25">
      <c r="A2">
        <v>17</v>
      </c>
      <c r="B2" t="s">
        <v>2130</v>
      </c>
      <c r="D2" t="s">
        <v>1000</v>
      </c>
      <c r="E2">
        <v>5</v>
      </c>
      <c r="F2">
        <v>17</v>
      </c>
      <c r="G2" t="s">
        <v>2131</v>
      </c>
    </row>
    <row r="3" spans="1:7" x14ac:dyDescent="0.25">
      <c r="A3">
        <v>18</v>
      </c>
      <c r="B3" t="s">
        <v>2132</v>
      </c>
      <c r="D3" t="s">
        <v>1000</v>
      </c>
      <c r="E3">
        <v>10</v>
      </c>
      <c r="F3">
        <v>18</v>
      </c>
      <c r="G3" t="s">
        <v>2133</v>
      </c>
    </row>
    <row r="4" spans="1:7" x14ac:dyDescent="0.25">
      <c r="A4">
        <v>13</v>
      </c>
      <c r="B4" t="s">
        <v>2134</v>
      </c>
      <c r="D4" t="s">
        <v>1000</v>
      </c>
      <c r="E4">
        <v>13</v>
      </c>
      <c r="F4" t="s">
        <v>2135</v>
      </c>
      <c r="G4" t="s">
        <v>1102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2136</v>
      </c>
    </row>
    <row r="3" spans="1:1" x14ac:dyDescent="0.25">
      <c r="A3" t="s">
        <v>2137</v>
      </c>
    </row>
    <row r="4" spans="1:1" x14ac:dyDescent="0.25">
      <c r="A4" t="s">
        <v>2138</v>
      </c>
    </row>
    <row r="5" spans="1:1" x14ac:dyDescent="0.25">
      <c r="A5" t="s">
        <v>2139</v>
      </c>
    </row>
    <row r="6" spans="1:1" x14ac:dyDescent="0.25">
      <c r="A6" t="s">
        <v>2140</v>
      </c>
    </row>
    <row r="7" spans="1:1" x14ac:dyDescent="0.25">
      <c r="A7" t="s">
        <v>2141</v>
      </c>
    </row>
    <row r="9" spans="1:1" x14ac:dyDescent="0.25">
      <c r="A9" t="s">
        <v>2142</v>
      </c>
    </row>
    <row r="10" spans="1:1" x14ac:dyDescent="0.25">
      <c r="A10" t="s">
        <v>2143</v>
      </c>
    </row>
    <row r="11" spans="1:1" x14ac:dyDescent="0.25">
      <c r="A11" t="s">
        <v>2144</v>
      </c>
    </row>
    <row r="12" spans="1:1" x14ac:dyDescent="0.25">
      <c r="A12" t="s">
        <v>2145</v>
      </c>
    </row>
    <row r="13" spans="1:1" x14ac:dyDescent="0.25">
      <c r="A13" t="s">
        <v>2146</v>
      </c>
    </row>
    <row r="15" spans="1:1" x14ac:dyDescent="0.25">
      <c r="A15" t="s">
        <v>2147</v>
      </c>
    </row>
    <row r="16" spans="1:1" x14ac:dyDescent="0.25">
      <c r="A16" t="s">
        <v>2148</v>
      </c>
    </row>
    <row r="17" spans="1:1" x14ac:dyDescent="0.25">
      <c r="A17" t="s">
        <v>2149</v>
      </c>
    </row>
    <row r="18" spans="1:1" x14ac:dyDescent="0.25">
      <c r="A18" t="s">
        <v>2150</v>
      </c>
    </row>
    <row r="19" spans="1:1" x14ac:dyDescent="0.25">
      <c r="A19" t="s">
        <v>2151</v>
      </c>
    </row>
    <row r="21" spans="1:1" x14ac:dyDescent="0.25">
      <c r="A21" t="s">
        <v>2152</v>
      </c>
    </row>
    <row r="22" spans="1:1" x14ac:dyDescent="0.25">
      <c r="A22" t="s">
        <v>2153</v>
      </c>
    </row>
    <row r="23" spans="1:1" x14ac:dyDescent="0.25">
      <c r="A23" t="s">
        <v>2154</v>
      </c>
    </row>
    <row r="24" spans="1:1" x14ac:dyDescent="0.25">
      <c r="A24" t="s">
        <v>2155</v>
      </c>
    </row>
    <row r="25" spans="1:1" x14ac:dyDescent="0.25">
      <c r="A25" t="s">
        <v>2156</v>
      </c>
    </row>
    <row r="27" spans="1:1" x14ac:dyDescent="0.25">
      <c r="A27" t="s">
        <v>2157</v>
      </c>
    </row>
    <row r="28" spans="1:1" x14ac:dyDescent="0.25">
      <c r="A28" t="s">
        <v>2158</v>
      </c>
    </row>
    <row r="29" spans="1:1" x14ac:dyDescent="0.25">
      <c r="A29" t="s">
        <v>2159</v>
      </c>
    </row>
    <row r="30" spans="1:1" x14ac:dyDescent="0.25">
      <c r="A30" t="s">
        <v>2160</v>
      </c>
    </row>
    <row r="31" spans="1:1" x14ac:dyDescent="0.25">
      <c r="A31" t="s">
        <v>2161</v>
      </c>
    </row>
    <row r="33" spans="1:1" x14ac:dyDescent="0.25">
      <c r="A33" t="s">
        <v>2162</v>
      </c>
    </row>
    <row r="34" spans="1:1" x14ac:dyDescent="0.25">
      <c r="A34" t="s">
        <v>2163</v>
      </c>
    </row>
    <row r="35" spans="1:1" x14ac:dyDescent="0.25">
      <c r="A35" t="s">
        <v>2164</v>
      </c>
    </row>
    <row r="36" spans="1:1" x14ac:dyDescent="0.25">
      <c r="A36" t="s">
        <v>2165</v>
      </c>
    </row>
    <row r="37" spans="1:1" x14ac:dyDescent="0.25">
      <c r="A37" t="s">
        <v>2166</v>
      </c>
    </row>
    <row r="39" spans="1:1" x14ac:dyDescent="0.25">
      <c r="A39" t="s">
        <v>2167</v>
      </c>
    </row>
    <row r="40" spans="1:1" x14ac:dyDescent="0.25">
      <c r="A40" t="s">
        <v>2168</v>
      </c>
    </row>
    <row r="41" spans="1:1" x14ac:dyDescent="0.25">
      <c r="A41" t="s">
        <v>2169</v>
      </c>
    </row>
    <row r="42" spans="1:1" x14ac:dyDescent="0.25">
      <c r="A42" t="s">
        <v>2170</v>
      </c>
    </row>
    <row r="43" spans="1:1" x14ac:dyDescent="0.25">
      <c r="A43" t="s">
        <v>2171</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1" t="s">
        <v>2172</v>
      </c>
      <c r="B1" s="81"/>
      <c r="C1" s="81"/>
      <c r="E1" s="81" t="s">
        <v>2173</v>
      </c>
      <c r="F1" s="81"/>
      <c r="G1" s="81"/>
      <c r="H1" s="81"/>
      <c r="J1" s="81" t="s">
        <v>2174</v>
      </c>
      <c r="K1" s="81"/>
      <c r="L1" s="81"/>
    </row>
    <row r="2" spans="1:12" x14ac:dyDescent="0.25">
      <c r="A2" s="36" t="s">
        <v>839</v>
      </c>
      <c r="B2" s="36" t="s">
        <v>487</v>
      </c>
      <c r="C2" s="36" t="s">
        <v>2175</v>
      </c>
      <c r="E2" s="36" t="s">
        <v>839</v>
      </c>
      <c r="F2" s="36" t="s">
        <v>487</v>
      </c>
      <c r="G2" s="36" t="s">
        <v>2175</v>
      </c>
      <c r="H2" s="36" t="s">
        <v>1466</v>
      </c>
      <c r="J2" s="36" t="s">
        <v>839</v>
      </c>
      <c r="K2" s="36" t="s">
        <v>2176</v>
      </c>
      <c r="L2" s="36" t="s">
        <v>2175</v>
      </c>
    </row>
    <row r="3" spans="1:12" x14ac:dyDescent="0.25">
      <c r="A3" s="36">
        <v>73</v>
      </c>
      <c r="B3" s="36" t="s">
        <v>2177</v>
      </c>
      <c r="C3" s="36">
        <v>1</v>
      </c>
      <c r="E3" s="36" t="s">
        <v>2178</v>
      </c>
      <c r="F3" s="36" t="s">
        <v>2179</v>
      </c>
      <c r="G3" s="36">
        <v>5</v>
      </c>
      <c r="H3" s="36" t="s">
        <v>2180</v>
      </c>
      <c r="J3" s="36">
        <v>304</v>
      </c>
      <c r="K3" s="36" t="s">
        <v>1407</v>
      </c>
      <c r="L3" s="36">
        <v>2</v>
      </c>
    </row>
    <row r="4" spans="1:12" x14ac:dyDescent="0.25">
      <c r="A4" s="36">
        <v>98</v>
      </c>
      <c r="B4" s="36" t="s">
        <v>942</v>
      </c>
      <c r="C4" s="36">
        <v>1</v>
      </c>
      <c r="E4" s="36"/>
      <c r="F4" s="36"/>
      <c r="G4" s="36"/>
      <c r="H4" s="36"/>
      <c r="J4" s="36"/>
      <c r="K4" s="36"/>
      <c r="L4" s="36"/>
    </row>
    <row r="5" spans="1:12" x14ac:dyDescent="0.25">
      <c r="A5" s="36">
        <v>106</v>
      </c>
      <c r="B5" s="36" t="s">
        <v>2181</v>
      </c>
      <c r="C5" s="36">
        <v>1</v>
      </c>
      <c r="E5" s="36"/>
      <c r="F5" s="36"/>
      <c r="G5" s="36"/>
      <c r="H5" s="36"/>
      <c r="J5" s="36"/>
      <c r="K5" s="36"/>
      <c r="L5" s="36"/>
    </row>
    <row r="6" spans="1:12" x14ac:dyDescent="0.25">
      <c r="A6" s="36">
        <v>107</v>
      </c>
      <c r="B6" s="36" t="s">
        <v>2182</v>
      </c>
      <c r="C6" s="36">
        <v>2</v>
      </c>
      <c r="E6" s="36"/>
      <c r="F6" s="36"/>
      <c r="G6" s="36"/>
      <c r="H6" s="36"/>
      <c r="J6" s="36"/>
      <c r="K6" s="36"/>
      <c r="L6" s="36"/>
    </row>
    <row r="7" spans="1:12" x14ac:dyDescent="0.25">
      <c r="A7" s="36">
        <v>108</v>
      </c>
      <c r="B7" s="36" t="s">
        <v>2183</v>
      </c>
      <c r="C7" s="36">
        <v>3</v>
      </c>
      <c r="E7" s="36"/>
      <c r="F7" s="36"/>
      <c r="G7" s="36"/>
      <c r="H7" s="36"/>
      <c r="J7" s="36"/>
      <c r="K7" s="36"/>
      <c r="L7" s="36"/>
    </row>
    <row r="8" spans="1:12" x14ac:dyDescent="0.25">
      <c r="A8" s="36">
        <v>109</v>
      </c>
      <c r="B8" s="36" t="s">
        <v>2184</v>
      </c>
      <c r="C8" s="36">
        <v>4</v>
      </c>
      <c r="E8" s="36"/>
      <c r="F8" s="36"/>
      <c r="G8" s="36"/>
      <c r="H8" s="36"/>
      <c r="J8" s="36"/>
      <c r="K8" s="36"/>
      <c r="L8" s="36"/>
    </row>
    <row r="9" spans="1:12" x14ac:dyDescent="0.25">
      <c r="A9" s="36">
        <v>110</v>
      </c>
      <c r="B9" s="36" t="s">
        <v>2185</v>
      </c>
      <c r="C9" s="36">
        <v>5</v>
      </c>
      <c r="E9" s="36"/>
      <c r="F9" s="36"/>
      <c r="G9" s="36"/>
      <c r="H9" s="36"/>
      <c r="J9" s="36"/>
      <c r="K9" s="36"/>
      <c r="L9" s="36"/>
    </row>
    <row r="10" spans="1:12" x14ac:dyDescent="0.25">
      <c r="A10" s="36">
        <v>111</v>
      </c>
      <c r="B10" s="36" t="s">
        <v>2186</v>
      </c>
      <c r="C10" s="36">
        <v>7</v>
      </c>
    </row>
    <row r="11" spans="1:12" x14ac:dyDescent="0.25">
      <c r="A11">
        <v>112</v>
      </c>
      <c r="B11" t="s">
        <v>2187</v>
      </c>
      <c r="C11">
        <v>2</v>
      </c>
    </row>
    <row r="12" spans="1:12" x14ac:dyDescent="0.25">
      <c r="A12">
        <v>113</v>
      </c>
      <c r="B12" t="s">
        <v>2188</v>
      </c>
      <c r="C12">
        <v>1</v>
      </c>
    </row>
    <row r="15" spans="1:12" x14ac:dyDescent="0.25">
      <c r="A15" s="67" t="s">
        <v>2189</v>
      </c>
    </row>
    <row r="16" spans="1:12" x14ac:dyDescent="0.25">
      <c r="A16" s="67" t="s">
        <v>2190</v>
      </c>
      <c r="B16" s="67" t="s">
        <v>2191</v>
      </c>
      <c r="C16" s="67" t="s">
        <v>2192</v>
      </c>
      <c r="D16" s="67" t="s">
        <v>2193</v>
      </c>
      <c r="E16" s="67" t="s">
        <v>2194</v>
      </c>
      <c r="F16" s="67" t="s">
        <v>2195</v>
      </c>
    </row>
    <row r="17" spans="1:6" x14ac:dyDescent="0.25">
      <c r="A17" t="s">
        <v>2196</v>
      </c>
      <c r="B17">
        <v>6</v>
      </c>
      <c r="C17">
        <v>1</v>
      </c>
      <c r="D17">
        <f t="shared" ref="D17:D34" si="0">B17*C17</f>
        <v>6</v>
      </c>
      <c r="E17" t="s">
        <v>2197</v>
      </c>
    </row>
    <row r="18" spans="1:6" x14ac:dyDescent="0.25">
      <c r="A18" t="s">
        <v>2198</v>
      </c>
      <c r="B18">
        <v>3</v>
      </c>
      <c r="C18">
        <v>1</v>
      </c>
      <c r="D18">
        <f t="shared" si="0"/>
        <v>3</v>
      </c>
      <c r="E18" t="s">
        <v>2197</v>
      </c>
    </row>
    <row r="19" spans="1:6" x14ac:dyDescent="0.25">
      <c r="A19" t="s">
        <v>2199</v>
      </c>
      <c r="B19">
        <v>1</v>
      </c>
      <c r="C19">
        <v>15</v>
      </c>
      <c r="D19">
        <f t="shared" si="0"/>
        <v>15</v>
      </c>
      <c r="E19" t="s">
        <v>2197</v>
      </c>
      <c r="F19" t="s">
        <v>2200</v>
      </c>
    </row>
    <row r="20" spans="1:6" x14ac:dyDescent="0.25">
      <c r="A20" t="s">
        <v>2201</v>
      </c>
      <c r="B20">
        <v>1</v>
      </c>
      <c r="C20">
        <v>7</v>
      </c>
      <c r="D20">
        <f t="shared" si="0"/>
        <v>7</v>
      </c>
      <c r="E20" t="s">
        <v>2197</v>
      </c>
    </row>
    <row r="21" spans="1:6" x14ac:dyDescent="0.25">
      <c r="A21" t="s">
        <v>2202</v>
      </c>
      <c r="B21">
        <v>1</v>
      </c>
      <c r="C21">
        <v>8</v>
      </c>
      <c r="D21">
        <f t="shared" si="0"/>
        <v>8</v>
      </c>
      <c r="E21" t="s">
        <v>2197</v>
      </c>
      <c r="F21" t="s">
        <v>2203</v>
      </c>
    </row>
    <row r="22" spans="1:6" x14ac:dyDescent="0.25">
      <c r="A22" t="s">
        <v>2204</v>
      </c>
      <c r="B22">
        <v>1</v>
      </c>
      <c r="C22">
        <v>2</v>
      </c>
      <c r="D22">
        <f t="shared" si="0"/>
        <v>2</v>
      </c>
      <c r="E22" t="s">
        <v>2197</v>
      </c>
    </row>
    <row r="23" spans="1:6" x14ac:dyDescent="0.25">
      <c r="A23" t="s">
        <v>2205</v>
      </c>
      <c r="B23">
        <v>1</v>
      </c>
      <c r="C23">
        <v>5</v>
      </c>
      <c r="D23">
        <f t="shared" si="0"/>
        <v>5</v>
      </c>
      <c r="E23" t="s">
        <v>2197</v>
      </c>
    </row>
    <row r="24" spans="1:6" x14ac:dyDescent="0.25">
      <c r="A24" t="s">
        <v>2206</v>
      </c>
      <c r="B24">
        <v>7</v>
      </c>
      <c r="C24">
        <v>20</v>
      </c>
      <c r="D24">
        <f t="shared" si="0"/>
        <v>140</v>
      </c>
      <c r="E24" t="s">
        <v>2207</v>
      </c>
      <c r="F24" t="s">
        <v>2208</v>
      </c>
    </row>
    <row r="25" spans="1:6" x14ac:dyDescent="0.25">
      <c r="A25" t="s">
        <v>2209</v>
      </c>
      <c r="B25">
        <v>7</v>
      </c>
      <c r="C25">
        <v>15</v>
      </c>
      <c r="D25">
        <f t="shared" si="0"/>
        <v>105</v>
      </c>
      <c r="E25" t="s">
        <v>2207</v>
      </c>
      <c r="F25" t="s">
        <v>2210</v>
      </c>
    </row>
    <row r="26" spans="1:6" x14ac:dyDescent="0.25">
      <c r="A26" t="s">
        <v>2211</v>
      </c>
      <c r="B26">
        <v>3</v>
      </c>
      <c r="C26">
        <v>25</v>
      </c>
      <c r="D26">
        <f t="shared" si="0"/>
        <v>75</v>
      </c>
      <c r="E26" t="s">
        <v>2207</v>
      </c>
      <c r="F26" t="s">
        <v>2212</v>
      </c>
    </row>
    <row r="27" spans="1:6" x14ac:dyDescent="0.25">
      <c r="A27" t="s">
        <v>2213</v>
      </c>
      <c r="B27">
        <v>1</v>
      </c>
      <c r="C27">
        <v>15</v>
      </c>
      <c r="D27">
        <f t="shared" si="0"/>
        <v>15</v>
      </c>
      <c r="E27" t="s">
        <v>2207</v>
      </c>
    </row>
    <row r="28" spans="1:6" x14ac:dyDescent="0.25">
      <c r="A28" t="s">
        <v>2214</v>
      </c>
      <c r="B28">
        <v>8</v>
      </c>
      <c r="C28">
        <v>5</v>
      </c>
      <c r="D28">
        <f t="shared" si="0"/>
        <v>40</v>
      </c>
      <c r="E28" t="s">
        <v>2207</v>
      </c>
      <c r="F28" t="s">
        <v>2215</v>
      </c>
    </row>
    <row r="29" spans="1:6" x14ac:dyDescent="0.25">
      <c r="A29" t="s">
        <v>2216</v>
      </c>
      <c r="B29">
        <v>10</v>
      </c>
      <c r="C29">
        <v>3</v>
      </c>
      <c r="D29">
        <f t="shared" si="0"/>
        <v>30</v>
      </c>
      <c r="E29" t="s">
        <v>2207</v>
      </c>
      <c r="F29" t="s">
        <v>2217</v>
      </c>
    </row>
    <row r="30" spans="1:6" x14ac:dyDescent="0.25">
      <c r="A30" t="s">
        <v>2218</v>
      </c>
      <c r="B30">
        <v>3</v>
      </c>
      <c r="C30">
        <v>15</v>
      </c>
      <c r="D30">
        <f t="shared" si="0"/>
        <v>45</v>
      </c>
      <c r="E30" t="s">
        <v>2207</v>
      </c>
    </row>
    <row r="31" spans="1:6" x14ac:dyDescent="0.25">
      <c r="A31" t="s">
        <v>2219</v>
      </c>
      <c r="B31">
        <v>2</v>
      </c>
      <c r="C31">
        <v>15</v>
      </c>
      <c r="D31">
        <f t="shared" si="0"/>
        <v>30</v>
      </c>
      <c r="E31" t="s">
        <v>2207</v>
      </c>
    </row>
    <row r="32" spans="1:6" x14ac:dyDescent="0.25">
      <c r="A32" t="s">
        <v>2220</v>
      </c>
      <c r="B32">
        <v>1</v>
      </c>
      <c r="C32">
        <v>15</v>
      </c>
      <c r="D32">
        <f t="shared" si="0"/>
        <v>15</v>
      </c>
      <c r="E32" t="s">
        <v>2207</v>
      </c>
    </row>
    <row r="33" spans="1:6" x14ac:dyDescent="0.25">
      <c r="A33" t="s">
        <v>2221</v>
      </c>
      <c r="B33">
        <v>1</v>
      </c>
      <c r="C33">
        <v>30</v>
      </c>
      <c r="D33">
        <f t="shared" si="0"/>
        <v>30</v>
      </c>
      <c r="E33" t="s">
        <v>2207</v>
      </c>
      <c r="F33" t="s">
        <v>2222</v>
      </c>
    </row>
    <row r="34" spans="1:6" x14ac:dyDescent="0.25">
      <c r="A34" t="s">
        <v>2223</v>
      </c>
      <c r="B34">
        <v>0</v>
      </c>
      <c r="C34">
        <v>1</v>
      </c>
      <c r="D34">
        <f t="shared" si="0"/>
        <v>0</v>
      </c>
      <c r="E34" t="s">
        <v>2224</v>
      </c>
      <c r="F34" t="s">
        <v>2225</v>
      </c>
    </row>
    <row r="36" spans="1:6" x14ac:dyDescent="0.25">
      <c r="A36" t="s">
        <v>2226</v>
      </c>
      <c r="D36">
        <f>SUMIF(E17:E34,"Ist",D17:D34)</f>
        <v>46</v>
      </c>
    </row>
    <row r="37" spans="1:6" x14ac:dyDescent="0.25">
      <c r="A37" t="s">
        <v>2227</v>
      </c>
      <c r="D37">
        <f>SUMIF(E17:E34,"Geplant",D17:D34)</f>
        <v>525</v>
      </c>
    </row>
    <row r="38" spans="1:6" x14ac:dyDescent="0.25">
      <c r="A38" s="67" t="s">
        <v>2228</v>
      </c>
      <c r="D38" s="67">
        <f>D36+D37</f>
        <v>571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42</vt:i4>
      </vt:variant>
    </vt:vector>
  </HeadingPairs>
  <TitlesOfParts>
    <vt:vector size="42"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2026-10-06T07:00:46Z</dcterms:modified>
  <dc:language>de-DE</dc:language>
</cp:coreProperties>
</file>